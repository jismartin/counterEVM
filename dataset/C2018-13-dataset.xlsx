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jisantos_ubu_es/Documents/CodeDrive/GitHub/counterEVM-1/dataset/"/>
    </mc:Choice>
  </mc:AlternateContent>
  <xr:revisionPtr revIDLastSave="31" documentId="8_{9581F7CB-BA19-4100-BB28-9F5E49BD8D6D}" xr6:coauthVersionLast="47" xr6:coauthVersionMax="47" xr10:uidLastSave="{84D882EA-03A4-4C1A-AFE1-2D188F4B5FA9}"/>
  <bookViews>
    <workbookView xWindow="-90" yWindow="0" windowWidth="24150" windowHeight="20970" xr2:uid="{15E2E367-F2A4-4CD5-AF45-D49C27F67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" l="1"/>
  <c r="Z10" i="1" l="1" a="1"/>
  <c r="Z10" i="1" s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1" i="1" a="1"/>
  <c r="Z11" i="1" s="1"/>
  <c r="Z22" i="1" a="1"/>
  <c r="Z22" i="1" s="1"/>
  <c r="Z3" i="1" a="1"/>
  <c r="Z3" i="1" s="1"/>
  <c r="L34" i="1"/>
  <c r="L4" i="1" a="1"/>
  <c r="L4" i="1" s="1"/>
  <c r="M4" i="1" s="1"/>
  <c r="L5" i="1" a="1"/>
  <c r="L5" i="1" s="1"/>
  <c r="M5" i="1" s="1"/>
  <c r="L6" i="1" a="1"/>
  <c r="L6" i="1" s="1"/>
  <c r="M6" i="1" s="1"/>
  <c r="L7" i="1" a="1"/>
  <c r="L7" i="1" s="1"/>
  <c r="M7" i="1" s="1"/>
  <c r="L8" i="1" a="1"/>
  <c r="L8" i="1" s="1"/>
  <c r="M8" i="1" s="1"/>
  <c r="L9" i="1" a="1"/>
  <c r="L9" i="1" s="1"/>
  <c r="M9" i="1" s="1"/>
  <c r="L10" i="1" a="1"/>
  <c r="L10" i="1" s="1"/>
  <c r="M10" i="1" s="1"/>
  <c r="L11" i="1" a="1"/>
  <c r="L11" i="1" s="1"/>
  <c r="N11" i="1" s="1"/>
  <c r="L12" i="1" a="1"/>
  <c r="L12" i="1" s="1"/>
  <c r="M12" i="1" s="1"/>
  <c r="L13" i="1" a="1"/>
  <c r="L13" i="1" s="1"/>
  <c r="M13" i="1" s="1"/>
  <c r="L14" i="1" a="1"/>
  <c r="L14" i="1" s="1"/>
  <c r="M14" i="1" s="1"/>
  <c r="L15" i="1" a="1"/>
  <c r="L15" i="1" s="1"/>
  <c r="N15" i="1" s="1"/>
  <c r="L16" i="1" a="1"/>
  <c r="L16" i="1" s="1"/>
  <c r="M16" i="1" s="1"/>
  <c r="L17" i="1" a="1"/>
  <c r="L17" i="1" s="1"/>
  <c r="M17" i="1" s="1"/>
  <c r="L18" i="1" a="1"/>
  <c r="L18" i="1" s="1"/>
  <c r="M18" i="1" s="1"/>
  <c r="L19" i="1" a="1"/>
  <c r="L19" i="1" s="1"/>
  <c r="M19" i="1" s="1"/>
  <c r="L20" i="1" a="1"/>
  <c r="L20" i="1" s="1"/>
  <c r="M20" i="1" s="1"/>
  <c r="L21" i="1" a="1"/>
  <c r="L21" i="1" s="1"/>
  <c r="M21" i="1" s="1"/>
  <c r="L22" i="1" a="1"/>
  <c r="L22" i="1" s="1"/>
  <c r="M22" i="1" s="1"/>
  <c r="L23" i="1" a="1"/>
  <c r="L23" i="1" s="1"/>
  <c r="M23" i="1" s="1"/>
  <c r="L24" i="1" a="1"/>
  <c r="L24" i="1" s="1"/>
  <c r="M24" i="1" s="1"/>
  <c r="L25" i="1" a="1"/>
  <c r="L25" i="1" s="1"/>
  <c r="M25" i="1" s="1"/>
  <c r="L26" i="1" a="1"/>
  <c r="L26" i="1" s="1"/>
  <c r="M26" i="1" s="1"/>
  <c r="L27" i="1" a="1"/>
  <c r="L27" i="1" s="1"/>
  <c r="M27" i="1" s="1"/>
  <c r="L28" i="1" a="1"/>
  <c r="L28" i="1" s="1"/>
  <c r="M28" i="1" s="1"/>
  <c r="L29" i="1" a="1"/>
  <c r="L29" i="1" s="1"/>
  <c r="M29" i="1" s="1"/>
  <c r="L30" i="1" a="1"/>
  <c r="L30" i="1" s="1"/>
  <c r="M30" i="1" s="1"/>
  <c r="L31" i="1" a="1"/>
  <c r="L31" i="1" s="1"/>
  <c r="M31" i="1" s="1"/>
  <c r="L32" i="1" a="1"/>
  <c r="L32" i="1" s="1"/>
  <c r="M32" i="1" s="1"/>
  <c r="L33" i="1" a="1"/>
  <c r="L33" i="1" s="1"/>
  <c r="M33" i="1" s="1"/>
  <c r="L3" i="1" a="1"/>
  <c r="L3" i="1" s="1"/>
  <c r="N3" i="1" s="1"/>
  <c r="L2" i="1"/>
  <c r="M15" i="1" l="1"/>
  <c r="M11" i="1"/>
  <c r="O31" i="1"/>
  <c r="O27" i="1"/>
  <c r="O23" i="1"/>
  <c r="O19" i="1"/>
  <c r="O15" i="1"/>
  <c r="O11" i="1"/>
  <c r="O7" i="1"/>
  <c r="N31" i="1"/>
  <c r="N27" i="1"/>
  <c r="N23" i="1"/>
  <c r="N19" i="1"/>
  <c r="N7" i="1"/>
  <c r="O30" i="1"/>
  <c r="O26" i="1"/>
  <c r="O22" i="1"/>
  <c r="O18" i="1"/>
  <c r="O14" i="1"/>
  <c r="O10" i="1"/>
  <c r="O6" i="1"/>
  <c r="N30" i="1"/>
  <c r="N26" i="1"/>
  <c r="N22" i="1"/>
  <c r="N18" i="1"/>
  <c r="N14" i="1"/>
  <c r="N10" i="1"/>
  <c r="N6" i="1"/>
  <c r="O33" i="1"/>
  <c r="O29" i="1"/>
  <c r="O25" i="1"/>
  <c r="O21" i="1"/>
  <c r="O17" i="1"/>
  <c r="O13" i="1"/>
  <c r="O9" i="1"/>
  <c r="O5" i="1"/>
  <c r="N33" i="1"/>
  <c r="N29" i="1"/>
  <c r="N25" i="1"/>
  <c r="N21" i="1"/>
  <c r="N17" i="1"/>
  <c r="N13" i="1"/>
  <c r="N9" i="1"/>
  <c r="N5" i="1"/>
  <c r="O32" i="1"/>
  <c r="O28" i="1"/>
  <c r="O24" i="1"/>
  <c r="O20" i="1"/>
  <c r="O16" i="1"/>
  <c r="O12" i="1"/>
  <c r="O8" i="1"/>
  <c r="O4" i="1"/>
  <c r="N32" i="1"/>
  <c r="N28" i="1"/>
  <c r="N24" i="1"/>
  <c r="N20" i="1"/>
  <c r="N16" i="1"/>
  <c r="N12" i="1"/>
  <c r="N8" i="1"/>
  <c r="N4" i="1"/>
  <c r="M3" i="1"/>
  <c r="O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<sst xmlns="http://schemas.openxmlformats.org/spreadsheetml/2006/main" count="321" uniqueCount="170">
  <si>
    <t>WBS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</si>
  <si>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</si>
  <si>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</si>
  <si>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</si>
  <si>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</si>
  <si>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</si>
  <si>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</si>
  <si>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</si>
  <si>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</si>
  <si>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</si>
  <si>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</si>
  <si>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</si>
  <si>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</si>
  <si>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</si>
  <si>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</si>
  <si>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</si>
  <si>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</si>
  <si>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</si>
  <si>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</si>
  <si>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</si>
  <si>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</si>
  <si>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</si>
  <si>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</si>
  <si>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</si>
  <si>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</si>
  <si>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</si>
  <si>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</si>
  <si>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</si>
  <si>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</si>
  <si>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</si>
  <si>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</si>
  <si>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</si>
  <si>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</si>
  <si>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</si>
  <si>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Predecessors</t>
  </si>
  <si>
    <t>1FS</t>
  </si>
  <si>
    <t>2FS</t>
  </si>
  <si>
    <t>3FS</t>
  </si>
  <si>
    <t>4FS</t>
  </si>
  <si>
    <t>5FS</t>
  </si>
  <si>
    <t>6SS</t>
  </si>
  <si>
    <t>10FS</t>
  </si>
  <si>
    <t>11FS;12FS;6FS</t>
  </si>
  <si>
    <t>7FS;8FS;9FS</t>
  </si>
  <si>
    <t>14FS;24FS</t>
  </si>
  <si>
    <t>15FS</t>
  </si>
  <si>
    <t>21FS;20FS;19FS;18FS;17FS;16FS</t>
  </si>
  <si>
    <t>22FS</t>
  </si>
  <si>
    <t>9FS</t>
  </si>
  <si>
    <t>23FS</t>
  </si>
  <si>
    <t>25FS</t>
  </si>
  <si>
    <t>13FS;26FS;6FS</t>
  </si>
  <si>
    <t>27FS</t>
  </si>
  <si>
    <t>28FS</t>
  </si>
  <si>
    <t>29FS</t>
  </si>
  <si>
    <t>30FS;31FS</t>
  </si>
  <si>
    <t>32FS</t>
  </si>
  <si>
    <t>Successors</t>
  </si>
  <si>
    <t>FS2</t>
  </si>
  <si>
    <t>FS3</t>
  </si>
  <si>
    <t>FS4</t>
  </si>
  <si>
    <t>FS5;FS6;FS7;FS8;FS21</t>
  </si>
  <si>
    <t>FS9</t>
  </si>
  <si>
    <t>SS10;FS27;FS13</t>
  </si>
  <si>
    <t>FS14</t>
  </si>
  <si>
    <t>FS14;FS24</t>
  </si>
  <si>
    <t>FS11;FS12</t>
  </si>
  <si>
    <t>FS13</t>
  </si>
  <si>
    <t>FS27</t>
  </si>
  <si>
    <t>FS15</t>
  </si>
  <si>
    <t>FS16;FS18;FS17;FS19;FS20</t>
  </si>
  <si>
    <t>FS22</t>
  </si>
  <si>
    <t>FS23</t>
  </si>
  <si>
    <t>FS25</t>
  </si>
  <si>
    <t>FS26</t>
  </si>
  <si>
    <t>FS28</t>
  </si>
  <si>
    <t>FS29</t>
  </si>
  <si>
    <t>FS30;FS31</t>
  </si>
  <si>
    <t>FS32</t>
  </si>
  <si>
    <t>FS33</t>
  </si>
  <si>
    <t>Duration</t>
  </si>
  <si>
    <t>0</t>
  </si>
  <si>
    <t>5d</t>
  </si>
  <si>
    <t>30d</t>
  </si>
  <si>
    <t>1d 2h</t>
  </si>
  <si>
    <t>2d</t>
  </si>
  <si>
    <t>7d</t>
  </si>
  <si>
    <t>3d</t>
  </si>
  <si>
    <t>1d</t>
  </si>
  <si>
    <t>6d</t>
  </si>
  <si>
    <t>Total Cost</t>
  </si>
  <si>
    <t>ID</t>
  </si>
  <si>
    <t>Name</t>
  </si>
  <si>
    <t>START</t>
  </si>
  <si>
    <t>Creation of the activities plan and location</t>
  </si>
  <si>
    <t>Asking City Hall Permission / License - email</t>
  </si>
  <si>
    <t>Receiving acceptance</t>
  </si>
  <si>
    <t>Creation of a safety plan</t>
  </si>
  <si>
    <t>Contacting vegan restaurants and sponsors</t>
  </si>
  <si>
    <t>Contacting the truck/stand company</t>
  </si>
  <si>
    <t>Contacting / contract Music band/ DJ</t>
  </si>
  <si>
    <t>Approval of the security plan and coordination with the police</t>
  </si>
  <si>
    <t>Design the Marketing Campaign</t>
  </si>
  <si>
    <t>Ordering posters and flyers</t>
  </si>
  <si>
    <t>Preparing online campaign</t>
  </si>
  <si>
    <t>Start Marketing campaign</t>
  </si>
  <si>
    <t>Cut the Circulation</t>
  </si>
  <si>
    <t>Installing the tent</t>
  </si>
  <si>
    <t>Installation of electricity/cabling</t>
  </si>
  <si>
    <t>Stands Construction</t>
  </si>
  <si>
    <t>Backstage Construction</t>
  </si>
  <si>
    <t>Bathrooms construction/installation</t>
  </si>
  <si>
    <t>Tables installation</t>
  </si>
  <si>
    <t>Designing and Budgeting Christmas decoration</t>
  </si>
  <si>
    <t>Installation of the decoration</t>
  </si>
  <si>
    <t>Open circulation</t>
  </si>
  <si>
    <t>Hiring security guards</t>
  </si>
  <si>
    <t>Technical Control</t>
  </si>
  <si>
    <t>Placement of people and food</t>
  </si>
  <si>
    <t>Market opening</t>
  </si>
  <si>
    <t>Market closing</t>
  </si>
  <si>
    <t>Cut circulation</t>
  </si>
  <si>
    <t>Cleaning</t>
  </si>
  <si>
    <t>Uninstallation</t>
  </si>
  <si>
    <t>Opening circulation</t>
  </si>
  <si>
    <t>END</t>
  </si>
  <si>
    <t>standard - no risk</t>
  </si>
  <si>
    <t>40h</t>
  </si>
  <si>
    <t>standard - skewed left</t>
  </si>
  <si>
    <t>240h</t>
  </si>
  <si>
    <t>10h</t>
  </si>
  <si>
    <t>16h</t>
  </si>
  <si>
    <t>112h</t>
  </si>
  <si>
    <t>160h</t>
  </si>
  <si>
    <t>56h</t>
  </si>
  <si>
    <t>24h</t>
  </si>
  <si>
    <t>8h</t>
  </si>
  <si>
    <t>48h</t>
  </si>
  <si>
    <t>Description</t>
  </si>
  <si>
    <t>Optimistic</t>
  </si>
  <si>
    <t>Most Probable</t>
  </si>
  <si>
    <t>Pessimistic</t>
  </si>
  <si>
    <t>d</t>
  </si>
  <si>
    <t>o</t>
  </si>
  <si>
    <t>m</t>
  </si>
  <si>
    <t>p</t>
  </si>
  <si>
    <t>Actual Duration</t>
  </si>
  <si>
    <t>PAC</t>
  </si>
  <si>
    <t>PRC</t>
  </si>
  <si>
    <t>Remaining Duration</t>
  </si>
  <si>
    <t>Actual Cost</t>
  </si>
  <si>
    <t>Remaining Cost</t>
  </si>
  <si>
    <t>Percentage Completed</t>
  </si>
  <si>
    <t>Tracking</t>
  </si>
  <si>
    <t>Earned Value (EV)</t>
  </si>
  <si>
    <t>Planned Value (PV)</t>
  </si>
  <si>
    <t>Finished</t>
  </si>
  <si>
    <t>7d 3h</t>
  </si>
  <si>
    <t>42d 3h</t>
  </si>
  <si>
    <t>1d 4h</t>
  </si>
  <si>
    <t>2d 6h</t>
  </si>
  <si>
    <t>8d 6h</t>
  </si>
  <si>
    <t>21d 4h</t>
  </si>
  <si>
    <t>Started</t>
  </si>
  <si>
    <t>17d 3h</t>
  </si>
  <si>
    <t>15d</t>
  </si>
  <si>
    <t>25d 1h</t>
  </si>
  <si>
    <t>4d</t>
  </si>
  <si>
    <t>Not Started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</si>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</sst>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2" fontId="2" fillId="0" borderId="0" xfId="0" applyNumberFormat="1" applyFont="1"/>
    <xf numFmtId="2" fontId="1" fillId="3" borderId="1" xfId="0" applyNumberFormat="1" applyFont="1" applyFill="1" applyBorder="1" applyAlignment="1">
      <alignment horizontal="center" wrapText="1"/>
    </xf>
    <xf numFmtId="2" fontId="2" fillId="0" borderId="1" xfId="0" applyNumberFormat="1" applyFont="1" applyBorder="1"/>
    <xf numFmtId="2" fontId="2" fillId="5" borderId="1" xfId="1" applyNumberFormat="1" applyFont="1" applyFill="1" applyBorder="1" applyAlignment="1">
      <alignment wrapText="1"/>
    </xf>
    <xf numFmtId="2" fontId="2" fillId="7" borderId="1" xfId="1" applyNumberFormat="1" applyFont="1" applyFill="1" applyBorder="1" applyAlignment="1">
      <alignment wrapText="1"/>
    </xf>
    <xf numFmtId="2" fontId="2" fillId="0" borderId="1" xfId="1" applyNumberFormat="1" applyFont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E422-5DA8-4CE0-BF21-0DF4160AD61E}">
  <dimension ref="A1:AA34"/>
  <sheetViews>
    <sheetView tabSelected="1" topLeftCell="M1" workbookViewId="0">
      <selection activeCell="V7" sqref="V7"/>
    </sheetView>
  </sheetViews>
  <sheetFormatPr baseColWidth="10" defaultRowHeight="13" x14ac:dyDescent="0.3"/>
  <cols>
    <col min="1" max="1" width="10.90625" style="2"/>
    <col min="2" max="2" width="17.54296875" style="2" bestFit="1" customWidth="1"/>
    <col min="3" max="5" width="10.90625" style="2"/>
    <col min="6" max="6" width="10.90625" style="8"/>
    <col min="7" max="8" width="10.90625" style="2"/>
    <col min="9" max="15" width="10.90625" style="8"/>
    <col min="16" max="16" width="10.90625" style="2"/>
    <col min="17" max="18" width="10.90625" style="8"/>
    <col min="19" max="19" width="10.90625" style="2"/>
    <col min="20" max="22" width="10.90625" style="8"/>
    <col min="23" max="23" width="10.90625" style="2"/>
    <col min="24" max="26" width="10.90625" style="8"/>
    <col min="27" max="27" width="11.26953125" style="2" bestFit="1" customWidth="1"/>
    <col min="28" max="16384" width="10.90625" style="2"/>
  </cols>
  <sheetData>
    <row r="1" spans="1:27" ht="26" x14ac:dyDescent="0.3">
      <c r="A1" s="1" t="s">
        <v>91</v>
      </c>
      <c r="B1" s="1" t="s">
        <v>92</v>
      </c>
      <c r="C1" s="1" t="s">
        <v>0</v>
      </c>
      <c r="D1" s="1" t="s">
        <v>34</v>
      </c>
      <c r="E1" s="1" t="s">
        <v>57</v>
      </c>
      <c r="F1" s="6" t="s">
        <v>90</v>
      </c>
      <c r="G1" s="1" t="s">
        <v>80</v>
      </c>
      <c r="H1" s="1" t="s">
        <v>138</v>
      </c>
      <c r="I1" s="6" t="s">
        <v>139</v>
      </c>
      <c r="J1" s="6" t="s">
        <v>140</v>
      </c>
      <c r="K1" s="6" t="s">
        <v>141</v>
      </c>
      <c r="L1" s="9" t="s">
        <v>142</v>
      </c>
      <c r="M1" s="9" t="s">
        <v>143</v>
      </c>
      <c r="N1" s="9" t="s">
        <v>144</v>
      </c>
      <c r="O1" s="9" t="s">
        <v>145</v>
      </c>
      <c r="P1" s="1" t="s">
        <v>146</v>
      </c>
      <c r="Q1" s="6" t="s">
        <v>147</v>
      </c>
      <c r="R1" s="6" t="s">
        <v>148</v>
      </c>
      <c r="S1" s="1" t="s">
        <v>149</v>
      </c>
      <c r="T1" s="6" t="s">
        <v>150</v>
      </c>
      <c r="U1" s="6" t="s">
        <v>151</v>
      </c>
      <c r="V1" s="6" t="s">
        <v>152</v>
      </c>
      <c r="W1" s="1" t="s">
        <v>153</v>
      </c>
      <c r="X1" s="6" t="s">
        <v>154</v>
      </c>
      <c r="Y1" s="6" t="s">
        <v>155</v>
      </c>
      <c r="Z1" s="9" t="s">
        <v>169</v>
      </c>
    </row>
    <row r="2" spans="1:27" ht="26" x14ac:dyDescent="0.3">
      <c r="A2" s="3">
        <v>1</v>
      </c>
      <c r="B2" s="3" t="s">
        <v>93</v>
      </c>
      <c r="C2" s="3" t="s">
        <v>1</v>
      </c>
      <c r="D2" s="3"/>
      <c r="E2" s="3" t="s">
        <v>58</v>
      </c>
      <c r="F2" s="7">
        <v>0</v>
      </c>
      <c r="G2" s="3" t="s">
        <v>81</v>
      </c>
      <c r="H2" s="3" t="s">
        <v>126</v>
      </c>
      <c r="I2" s="7">
        <v>99</v>
      </c>
      <c r="J2" s="7">
        <v>100</v>
      </c>
      <c r="K2" s="7">
        <v>101</v>
      </c>
      <c r="L2" s="10">
        <f>_xlfn.NUMBERVALUE(G2)</f>
        <v>0</v>
      </c>
      <c r="M2" s="7">
        <v>0</v>
      </c>
      <c r="N2" s="7">
        <v>0</v>
      </c>
      <c r="O2" s="7">
        <v>0</v>
      </c>
      <c r="P2" s="3" t="s">
        <v>81</v>
      </c>
      <c r="Q2" s="7">
        <v>0</v>
      </c>
      <c r="R2" s="7">
        <v>0</v>
      </c>
      <c r="S2" s="3" t="s">
        <v>81</v>
      </c>
      <c r="T2" s="7">
        <v>0</v>
      </c>
      <c r="U2" s="7">
        <v>0</v>
      </c>
      <c r="V2" s="11">
        <v>1</v>
      </c>
      <c r="W2" s="4" t="s">
        <v>156</v>
      </c>
      <c r="X2" s="7">
        <v>0</v>
      </c>
      <c r="Y2" s="7">
        <v>0</v>
      </c>
      <c r="Z2" s="10">
        <v>0</v>
      </c>
    </row>
    <row r="3" spans="1:27" ht="39" x14ac:dyDescent="0.3">
      <c r="A3" s="3">
        <v>2</v>
      </c>
      <c r="B3" s="3" t="s">
        <v>94</v>
      </c>
      <c r="C3" s="3" t="s">
        <v>2</v>
      </c>
      <c r="D3" s="3" t="s">
        <v>35</v>
      </c>
      <c r="E3" s="3" t="s">
        <v>59</v>
      </c>
      <c r="F3" s="7">
        <v>4000</v>
      </c>
      <c r="G3" s="3" t="s">
        <v>127</v>
      </c>
      <c r="H3" s="3" t="s">
        <v>128</v>
      </c>
      <c r="I3" s="7">
        <v>80</v>
      </c>
      <c r="J3" s="7">
        <v>110</v>
      </c>
      <c r="K3" s="7">
        <v>120</v>
      </c>
      <c r="L3" s="10" cm="1">
        <f t="array" ref="L3">_xlfn.NUMBERVALUE(_xlfn.REGEXEXTRACT(G3,"\d+"))</f>
        <v>40</v>
      </c>
      <c r="M3" s="10">
        <f>$L3*I3/100</f>
        <v>32</v>
      </c>
      <c r="N3" s="10">
        <f t="shared" ref="N3:O3" si="0">$L3*J3/100</f>
        <v>44</v>
      </c>
      <c r="O3" s="10">
        <f t="shared" si="0"/>
        <v>48</v>
      </c>
      <c r="P3" s="3" t="s">
        <v>157</v>
      </c>
      <c r="Q3" s="7">
        <v>5900</v>
      </c>
      <c r="R3" s="7">
        <v>0</v>
      </c>
      <c r="S3" s="3" t="s">
        <v>81</v>
      </c>
      <c r="T3" s="7">
        <v>5900</v>
      </c>
      <c r="U3" s="7">
        <v>0</v>
      </c>
      <c r="V3" s="11">
        <v>1</v>
      </c>
      <c r="W3" s="4" t="s">
        <v>156</v>
      </c>
      <c r="X3" s="7">
        <v>4000</v>
      </c>
      <c r="Y3" s="7">
        <v>4000</v>
      </c>
      <c r="Z3" s="10" cm="1">
        <f t="array" ref="Z3">_xlfn.NUMBERVALUE(_xlfn.REGEXEXTRACT(P3,"\d+"))*8+_xlfn.NUMBERVALUE(_xlfn.REGEXEXTRACT(P3," \d+"))</f>
        <v>59</v>
      </c>
    </row>
    <row r="4" spans="1:27" ht="39" x14ac:dyDescent="0.3">
      <c r="A4" s="3">
        <v>3</v>
      </c>
      <c r="B4" s="3" t="s">
        <v>95</v>
      </c>
      <c r="C4" s="3" t="s">
        <v>3</v>
      </c>
      <c r="D4" s="3" t="s">
        <v>36</v>
      </c>
      <c r="E4" s="3" t="s">
        <v>60</v>
      </c>
      <c r="F4" s="7">
        <v>200</v>
      </c>
      <c r="G4" s="3" t="s">
        <v>129</v>
      </c>
      <c r="H4" s="3" t="s">
        <v>128</v>
      </c>
      <c r="I4" s="7">
        <v>80</v>
      </c>
      <c r="J4" s="7">
        <v>110</v>
      </c>
      <c r="K4" s="7">
        <v>120</v>
      </c>
      <c r="L4" s="10" cm="1">
        <f t="array" ref="L4">_xlfn.NUMBERVALUE(_xlfn.REGEXEXTRACT(G4,"\d+"))</f>
        <v>240</v>
      </c>
      <c r="M4" s="10">
        <f t="shared" ref="M4:M33" si="1">$L4*I4/100</f>
        <v>192</v>
      </c>
      <c r="N4" s="10">
        <f t="shared" ref="N4:N33" si="2">$L4*J4/100</f>
        <v>264</v>
      </c>
      <c r="O4" s="10">
        <f t="shared" ref="O4:O33" si="3">$L4*K4/100</f>
        <v>288</v>
      </c>
      <c r="P4" s="3" t="s">
        <v>158</v>
      </c>
      <c r="Q4" s="7">
        <v>200</v>
      </c>
      <c r="R4" s="7">
        <v>0</v>
      </c>
      <c r="S4" s="3" t="s">
        <v>81</v>
      </c>
      <c r="T4" s="7">
        <v>200</v>
      </c>
      <c r="U4" s="7">
        <v>0</v>
      </c>
      <c r="V4" s="11">
        <v>1</v>
      </c>
      <c r="W4" s="4" t="s">
        <v>156</v>
      </c>
      <c r="X4" s="7">
        <v>200</v>
      </c>
      <c r="Y4" s="7">
        <v>200</v>
      </c>
      <c r="Z4" s="10" cm="1">
        <f t="array" ref="Z4">_xlfn.NUMBERVALUE(_xlfn.REGEXEXTRACT(P4,"\d+"))*8+_xlfn.NUMBERVALUE(_xlfn.REGEXEXTRACT(P4," \d+"))</f>
        <v>339</v>
      </c>
    </row>
    <row r="5" spans="1:27" ht="26" x14ac:dyDescent="0.3">
      <c r="A5" s="3">
        <v>4</v>
      </c>
      <c r="B5" s="3" t="s">
        <v>96</v>
      </c>
      <c r="C5" s="3" t="s">
        <v>4</v>
      </c>
      <c r="D5" s="3" t="s">
        <v>37</v>
      </c>
      <c r="E5" s="3" t="s">
        <v>61</v>
      </c>
      <c r="F5" s="7">
        <v>200</v>
      </c>
      <c r="G5" s="3" t="s">
        <v>130</v>
      </c>
      <c r="H5" s="3" t="s">
        <v>128</v>
      </c>
      <c r="I5" s="7">
        <v>80</v>
      </c>
      <c r="J5" s="7">
        <v>110</v>
      </c>
      <c r="K5" s="7">
        <v>120</v>
      </c>
      <c r="L5" s="10" cm="1">
        <f t="array" ref="L5">_xlfn.NUMBERVALUE(_xlfn.REGEXEXTRACT(G5,"\d+"))</f>
        <v>10</v>
      </c>
      <c r="M5" s="10">
        <f t="shared" si="1"/>
        <v>8</v>
      </c>
      <c r="N5" s="10">
        <f t="shared" si="2"/>
        <v>11</v>
      </c>
      <c r="O5" s="10">
        <f t="shared" si="3"/>
        <v>12</v>
      </c>
      <c r="P5" s="3" t="s">
        <v>159</v>
      </c>
      <c r="Q5" s="7">
        <v>200</v>
      </c>
      <c r="R5" s="7">
        <v>0</v>
      </c>
      <c r="S5" s="3" t="s">
        <v>81</v>
      </c>
      <c r="T5" s="7">
        <v>200</v>
      </c>
      <c r="U5" s="7">
        <v>0</v>
      </c>
      <c r="V5" s="11">
        <v>1</v>
      </c>
      <c r="W5" s="4" t="s">
        <v>156</v>
      </c>
      <c r="X5" s="7">
        <v>200</v>
      </c>
      <c r="Y5" s="7">
        <v>200</v>
      </c>
      <c r="Z5" s="10" cm="1">
        <f t="array" ref="Z5">_xlfn.NUMBERVALUE(_xlfn.REGEXEXTRACT(P5,"\d+"))*8+_xlfn.NUMBERVALUE(_xlfn.REGEXEXTRACT(P5," \d+"))</f>
        <v>12</v>
      </c>
    </row>
    <row r="6" spans="1:27" ht="26" x14ac:dyDescent="0.3">
      <c r="A6" s="3">
        <v>5</v>
      </c>
      <c r="B6" s="3" t="s">
        <v>97</v>
      </c>
      <c r="C6" s="3" t="s">
        <v>5</v>
      </c>
      <c r="D6" s="3" t="s">
        <v>38</v>
      </c>
      <c r="E6" s="3" t="s">
        <v>62</v>
      </c>
      <c r="F6" s="7">
        <v>640</v>
      </c>
      <c r="G6" s="3" t="s">
        <v>131</v>
      </c>
      <c r="H6" s="3" t="s">
        <v>128</v>
      </c>
      <c r="I6" s="7">
        <v>80</v>
      </c>
      <c r="J6" s="7">
        <v>110</v>
      </c>
      <c r="K6" s="7">
        <v>120</v>
      </c>
      <c r="L6" s="10" cm="1">
        <f t="array" ref="L6">_xlfn.NUMBERVALUE(_xlfn.REGEXEXTRACT(G6,"\d+"))</f>
        <v>16</v>
      </c>
      <c r="M6" s="10">
        <f t="shared" si="1"/>
        <v>12.8</v>
      </c>
      <c r="N6" s="10">
        <f t="shared" si="2"/>
        <v>17.600000000000001</v>
      </c>
      <c r="O6" s="10">
        <f t="shared" si="3"/>
        <v>19.2</v>
      </c>
      <c r="P6" s="3" t="s">
        <v>160</v>
      </c>
      <c r="Q6" s="7">
        <v>880</v>
      </c>
      <c r="R6" s="7">
        <v>0</v>
      </c>
      <c r="S6" s="3" t="s">
        <v>81</v>
      </c>
      <c r="T6" s="7">
        <v>880</v>
      </c>
      <c r="U6" s="7">
        <v>0</v>
      </c>
      <c r="V6" s="11">
        <v>1</v>
      </c>
      <c r="W6" s="4" t="s">
        <v>156</v>
      </c>
      <c r="X6" s="7">
        <v>640</v>
      </c>
      <c r="Y6" s="7">
        <v>640</v>
      </c>
      <c r="Z6" s="10" cm="1">
        <f t="array" ref="Z6">_xlfn.NUMBERVALUE(_xlfn.REGEXEXTRACT(P6,"\d+"))*8+_xlfn.NUMBERVALUE(_xlfn.REGEXEXTRACT(P6," \d+"))</f>
        <v>22</v>
      </c>
    </row>
    <row r="7" spans="1:27" ht="39" x14ac:dyDescent="0.3">
      <c r="A7" s="3">
        <v>6</v>
      </c>
      <c r="B7" s="3" t="s">
        <v>98</v>
      </c>
      <c r="C7" s="3" t="s">
        <v>6</v>
      </c>
      <c r="D7" s="3" t="s">
        <v>38</v>
      </c>
      <c r="E7" s="3" t="s">
        <v>63</v>
      </c>
      <c r="F7" s="7">
        <v>4800</v>
      </c>
      <c r="G7" s="3" t="s">
        <v>129</v>
      </c>
      <c r="H7" s="3" t="s">
        <v>128</v>
      </c>
      <c r="I7" s="7">
        <v>80</v>
      </c>
      <c r="J7" s="7">
        <v>110</v>
      </c>
      <c r="K7" s="7">
        <v>120</v>
      </c>
      <c r="L7" s="10" cm="1">
        <f t="array" ref="L7">_xlfn.NUMBERVALUE(_xlfn.REGEXEXTRACT(G7,"\d+"))</f>
        <v>240</v>
      </c>
      <c r="M7" s="10">
        <f t="shared" si="1"/>
        <v>192</v>
      </c>
      <c r="N7" s="10">
        <f t="shared" si="2"/>
        <v>264</v>
      </c>
      <c r="O7" s="10">
        <f t="shared" si="3"/>
        <v>288</v>
      </c>
      <c r="P7" s="3" t="s">
        <v>161</v>
      </c>
      <c r="Q7" s="7">
        <v>1400</v>
      </c>
      <c r="R7" s="7">
        <v>3440</v>
      </c>
      <c r="S7" s="3" t="s">
        <v>162</v>
      </c>
      <c r="T7" s="7">
        <v>1400</v>
      </c>
      <c r="U7" s="7">
        <v>3440</v>
      </c>
      <c r="V7" s="12">
        <v>0.28925618529319802</v>
      </c>
      <c r="W7" s="5" t="s">
        <v>163</v>
      </c>
      <c r="X7" s="7">
        <v>1388.42968940735</v>
      </c>
      <c r="Y7" s="7">
        <v>3800</v>
      </c>
      <c r="Z7" s="10" cm="1">
        <f t="array" ref="Z7">_xlfn.NUMBERVALUE(_xlfn.REGEXEXTRACT(P7,"\d+"))*8+_xlfn.NUMBERVALUE(_xlfn.REGEXEXTRACT(P7," \d+"))</f>
        <v>70</v>
      </c>
      <c r="AA7" s="8">
        <f>X7/F7</f>
        <v>0.28925618529319791</v>
      </c>
    </row>
    <row r="8" spans="1:27" ht="26" x14ac:dyDescent="0.3">
      <c r="A8" s="3">
        <v>7</v>
      </c>
      <c r="B8" s="3" t="s">
        <v>99</v>
      </c>
      <c r="C8" s="3" t="s">
        <v>7</v>
      </c>
      <c r="D8" s="3" t="s">
        <v>38</v>
      </c>
      <c r="E8" s="3" t="s">
        <v>64</v>
      </c>
      <c r="F8" s="7">
        <v>2240</v>
      </c>
      <c r="G8" s="3" t="s">
        <v>132</v>
      </c>
      <c r="H8" s="3" t="s">
        <v>128</v>
      </c>
      <c r="I8" s="7">
        <v>80</v>
      </c>
      <c r="J8" s="7">
        <v>110</v>
      </c>
      <c r="K8" s="7">
        <v>120</v>
      </c>
      <c r="L8" s="10" cm="1">
        <f t="array" ref="L8">_xlfn.NUMBERVALUE(_xlfn.REGEXEXTRACT(G8,"\d+"))</f>
        <v>112</v>
      </c>
      <c r="M8" s="10">
        <f t="shared" si="1"/>
        <v>89.6</v>
      </c>
      <c r="N8" s="10">
        <f t="shared" si="2"/>
        <v>123.2</v>
      </c>
      <c r="O8" s="10">
        <f t="shared" si="3"/>
        <v>134.4</v>
      </c>
      <c r="P8" s="3" t="s">
        <v>161</v>
      </c>
      <c r="Q8" s="7">
        <v>1400</v>
      </c>
      <c r="R8" s="7">
        <v>2780</v>
      </c>
      <c r="S8" s="3" t="s">
        <v>164</v>
      </c>
      <c r="T8" s="7">
        <v>1400</v>
      </c>
      <c r="U8" s="7">
        <v>2780</v>
      </c>
      <c r="V8" s="12">
        <v>0.33492824435234098</v>
      </c>
      <c r="W8" s="5" t="s">
        <v>163</v>
      </c>
      <c r="X8" s="7">
        <v>750.23926734924396</v>
      </c>
      <c r="Y8" s="7">
        <v>2240</v>
      </c>
      <c r="Z8" s="10" cm="1">
        <f t="array" ref="Z8">_xlfn.NUMBERVALUE(_xlfn.REGEXEXTRACT(P8,"\d+"))*8+_xlfn.NUMBERVALUE(_xlfn.REGEXEXTRACT(P8," \d+"))</f>
        <v>70</v>
      </c>
    </row>
    <row r="9" spans="1:27" ht="26" x14ac:dyDescent="0.3">
      <c r="A9" s="3">
        <v>8</v>
      </c>
      <c r="B9" s="3" t="s">
        <v>100</v>
      </c>
      <c r="C9" s="3" t="s">
        <v>8</v>
      </c>
      <c r="D9" s="3" t="s">
        <v>38</v>
      </c>
      <c r="E9" s="3" t="s">
        <v>64</v>
      </c>
      <c r="F9" s="7">
        <v>2240</v>
      </c>
      <c r="G9" s="3" t="s">
        <v>132</v>
      </c>
      <c r="H9" s="3" t="s">
        <v>128</v>
      </c>
      <c r="I9" s="7">
        <v>80</v>
      </c>
      <c r="J9" s="7">
        <v>110</v>
      </c>
      <c r="K9" s="7">
        <v>120</v>
      </c>
      <c r="L9" s="10" cm="1">
        <f t="array" ref="L9">_xlfn.NUMBERVALUE(_xlfn.REGEXEXTRACT(G9,"\d+"))</f>
        <v>112</v>
      </c>
      <c r="M9" s="10">
        <f t="shared" si="1"/>
        <v>89.6</v>
      </c>
      <c r="N9" s="10">
        <f t="shared" si="2"/>
        <v>123.2</v>
      </c>
      <c r="O9" s="10">
        <f t="shared" si="3"/>
        <v>134.4</v>
      </c>
      <c r="P9" s="3" t="s">
        <v>161</v>
      </c>
      <c r="Q9" s="7">
        <v>1400</v>
      </c>
      <c r="R9" s="7">
        <v>2400</v>
      </c>
      <c r="S9" s="3" t="s">
        <v>165</v>
      </c>
      <c r="T9" s="7">
        <v>1400</v>
      </c>
      <c r="U9" s="7">
        <v>2400</v>
      </c>
      <c r="V9" s="12">
        <v>0.36842104792594899</v>
      </c>
      <c r="W9" s="5" t="s">
        <v>163</v>
      </c>
      <c r="X9" s="7">
        <v>825.26314735412598</v>
      </c>
      <c r="Y9" s="7">
        <v>2240</v>
      </c>
      <c r="Z9" s="10" cm="1">
        <f t="array" ref="Z9">_xlfn.NUMBERVALUE(_xlfn.REGEXEXTRACT(P9,"\d+"))*8+_xlfn.NUMBERVALUE(_xlfn.REGEXEXTRACT(P9," \d+"))</f>
        <v>70</v>
      </c>
    </row>
    <row r="10" spans="1:27" ht="52" x14ac:dyDescent="0.3">
      <c r="A10" s="3">
        <v>9</v>
      </c>
      <c r="B10" s="3" t="s">
        <v>101</v>
      </c>
      <c r="C10" s="3" t="s">
        <v>9</v>
      </c>
      <c r="D10" s="3" t="s">
        <v>39</v>
      </c>
      <c r="E10" s="3" t="s">
        <v>65</v>
      </c>
      <c r="F10" s="7">
        <v>200</v>
      </c>
      <c r="G10" s="3" t="s">
        <v>133</v>
      </c>
      <c r="H10" s="3" t="s">
        <v>128</v>
      </c>
      <c r="I10" s="7">
        <v>80</v>
      </c>
      <c r="J10" s="7">
        <v>110</v>
      </c>
      <c r="K10" s="7">
        <v>120</v>
      </c>
      <c r="L10" s="10" cm="1">
        <f t="array" ref="L10">_xlfn.NUMBERVALUE(_xlfn.REGEXEXTRACT(G10,"\d+"))</f>
        <v>160</v>
      </c>
      <c r="M10" s="10">
        <f t="shared" si="1"/>
        <v>128</v>
      </c>
      <c r="N10" s="10">
        <f t="shared" si="2"/>
        <v>176</v>
      </c>
      <c r="O10" s="10">
        <f t="shared" si="3"/>
        <v>192</v>
      </c>
      <c r="P10" s="3" t="s">
        <v>89</v>
      </c>
      <c r="Q10" s="7">
        <v>200</v>
      </c>
      <c r="R10" s="7">
        <v>0</v>
      </c>
      <c r="S10" s="3" t="s">
        <v>166</v>
      </c>
      <c r="T10" s="7">
        <v>200</v>
      </c>
      <c r="U10" s="7">
        <v>0</v>
      </c>
      <c r="V10" s="12">
        <v>0.19277107715606701</v>
      </c>
      <c r="W10" s="5" t="s">
        <v>163</v>
      </c>
      <c r="X10" s="7">
        <v>200</v>
      </c>
      <c r="Y10" s="7">
        <v>200</v>
      </c>
      <c r="Z10" s="10" cm="1">
        <f t="array" ref="Z10">_xlfn.NUMBERVALUE(_xlfn.REGEXEXTRACT(P10,"\d+"))*8</f>
        <v>48</v>
      </c>
    </row>
    <row r="11" spans="1:27" ht="26" x14ac:dyDescent="0.3">
      <c r="A11" s="3">
        <v>10</v>
      </c>
      <c r="B11" s="3" t="s">
        <v>102</v>
      </c>
      <c r="C11" s="3" t="s">
        <v>10</v>
      </c>
      <c r="D11" s="3" t="s">
        <v>40</v>
      </c>
      <c r="E11" s="3" t="s">
        <v>66</v>
      </c>
      <c r="F11" s="7">
        <v>3360</v>
      </c>
      <c r="G11" s="3" t="s">
        <v>134</v>
      </c>
      <c r="H11" s="3" t="s">
        <v>128</v>
      </c>
      <c r="I11" s="7">
        <v>80</v>
      </c>
      <c r="J11" s="7">
        <v>110</v>
      </c>
      <c r="K11" s="7">
        <v>120</v>
      </c>
      <c r="L11" s="10" cm="1">
        <f t="array" ref="L11">_xlfn.NUMBERVALUE(_xlfn.REGEXEXTRACT(G11,"\d+"))</f>
        <v>56</v>
      </c>
      <c r="M11" s="10">
        <f t="shared" si="1"/>
        <v>44.8</v>
      </c>
      <c r="N11" s="10">
        <f t="shared" si="2"/>
        <v>61.6</v>
      </c>
      <c r="O11" s="10">
        <f t="shared" si="3"/>
        <v>67.2</v>
      </c>
      <c r="P11" s="3" t="s">
        <v>161</v>
      </c>
      <c r="Q11" s="7">
        <v>4200</v>
      </c>
      <c r="R11" s="7">
        <v>1920</v>
      </c>
      <c r="S11" s="3" t="s">
        <v>167</v>
      </c>
      <c r="T11" s="7">
        <v>4200</v>
      </c>
      <c r="U11" s="7">
        <v>1920</v>
      </c>
      <c r="V11" s="12">
        <v>0.68627452850341797</v>
      </c>
      <c r="W11" s="5" t="s">
        <v>163</v>
      </c>
      <c r="X11" s="7">
        <v>2305.8824157714798</v>
      </c>
      <c r="Y11" s="7">
        <v>3360</v>
      </c>
      <c r="Z11" s="10" cm="1">
        <f t="array" ref="Z11">_xlfn.NUMBERVALUE(_xlfn.REGEXEXTRACT(P11,"\d+"))*8+_xlfn.NUMBERVALUE(_xlfn.REGEXEXTRACT(P11," \d+"))</f>
        <v>70</v>
      </c>
    </row>
    <row r="12" spans="1:27" ht="26" x14ac:dyDescent="0.3">
      <c r="A12" s="3">
        <v>11</v>
      </c>
      <c r="B12" s="3" t="s">
        <v>103</v>
      </c>
      <c r="C12" s="3" t="s">
        <v>11</v>
      </c>
      <c r="D12" s="3" t="s">
        <v>41</v>
      </c>
      <c r="E12" s="3" t="s">
        <v>67</v>
      </c>
      <c r="F12" s="7">
        <v>1200</v>
      </c>
      <c r="G12" s="3" t="s">
        <v>130</v>
      </c>
      <c r="H12" s="3" t="s">
        <v>128</v>
      </c>
      <c r="I12" s="7">
        <v>80</v>
      </c>
      <c r="J12" s="7">
        <v>110</v>
      </c>
      <c r="K12" s="7">
        <v>120</v>
      </c>
      <c r="L12" s="10" cm="1">
        <f t="array" ref="L12">_xlfn.NUMBERVALUE(_xlfn.REGEXEXTRACT(G12,"\d+"))</f>
        <v>10</v>
      </c>
      <c r="M12" s="10">
        <f t="shared" si="1"/>
        <v>8</v>
      </c>
      <c r="N12" s="10">
        <f t="shared" si="2"/>
        <v>11</v>
      </c>
      <c r="O12" s="10">
        <f t="shared" si="3"/>
        <v>12</v>
      </c>
      <c r="P12" s="3" t="s">
        <v>81</v>
      </c>
      <c r="Q12" s="7">
        <v>0</v>
      </c>
      <c r="R12" s="7">
        <v>1200</v>
      </c>
      <c r="S12" s="3" t="s">
        <v>84</v>
      </c>
      <c r="T12" s="7">
        <v>0</v>
      </c>
      <c r="U12" s="7">
        <v>1200</v>
      </c>
      <c r="V12" s="13">
        <v>0</v>
      </c>
      <c r="W12" s="3" t="s">
        <v>168</v>
      </c>
      <c r="X12" s="7">
        <v>0</v>
      </c>
      <c r="Y12" s="7">
        <v>1200</v>
      </c>
      <c r="Z12" s="10">
        <v>0</v>
      </c>
    </row>
    <row r="13" spans="1:27" ht="26" x14ac:dyDescent="0.3">
      <c r="A13" s="3">
        <v>12</v>
      </c>
      <c r="B13" s="3" t="s">
        <v>104</v>
      </c>
      <c r="C13" s="3" t="s">
        <v>12</v>
      </c>
      <c r="D13" s="3" t="s">
        <v>41</v>
      </c>
      <c r="E13" s="3" t="s">
        <v>67</v>
      </c>
      <c r="F13" s="7">
        <v>800</v>
      </c>
      <c r="G13" s="3" t="s">
        <v>127</v>
      </c>
      <c r="H13" s="3" t="s">
        <v>128</v>
      </c>
      <c r="I13" s="7">
        <v>80</v>
      </c>
      <c r="J13" s="7">
        <v>110</v>
      </c>
      <c r="K13" s="7">
        <v>120</v>
      </c>
      <c r="L13" s="10" cm="1">
        <f t="array" ref="L13">_xlfn.NUMBERVALUE(_xlfn.REGEXEXTRACT(G13,"\d+"))</f>
        <v>40</v>
      </c>
      <c r="M13" s="10">
        <f t="shared" si="1"/>
        <v>32</v>
      </c>
      <c r="N13" s="10">
        <f t="shared" si="2"/>
        <v>44</v>
      </c>
      <c r="O13" s="10">
        <f t="shared" si="3"/>
        <v>48</v>
      </c>
      <c r="P13" s="3" t="s">
        <v>81</v>
      </c>
      <c r="Q13" s="7">
        <v>0</v>
      </c>
      <c r="R13" s="7">
        <v>800</v>
      </c>
      <c r="S13" s="3" t="s">
        <v>82</v>
      </c>
      <c r="T13" s="7">
        <v>0</v>
      </c>
      <c r="U13" s="7">
        <v>800</v>
      </c>
      <c r="V13" s="13">
        <v>0</v>
      </c>
      <c r="W13" s="3" t="s">
        <v>168</v>
      </c>
      <c r="X13" s="7">
        <v>0</v>
      </c>
      <c r="Y13" s="7">
        <v>800</v>
      </c>
      <c r="Z13" s="10">
        <v>0</v>
      </c>
    </row>
    <row r="14" spans="1:27" ht="26" x14ac:dyDescent="0.3">
      <c r="A14" s="3">
        <v>13</v>
      </c>
      <c r="B14" s="3" t="s">
        <v>105</v>
      </c>
      <c r="C14" s="3" t="s">
        <v>13</v>
      </c>
      <c r="D14" s="3" t="s">
        <v>42</v>
      </c>
      <c r="E14" s="3" t="s">
        <v>68</v>
      </c>
      <c r="F14" s="7">
        <v>500</v>
      </c>
      <c r="G14" s="3" t="s">
        <v>129</v>
      </c>
      <c r="H14" s="3" t="s">
        <v>128</v>
      </c>
      <c r="I14" s="7">
        <v>80</v>
      </c>
      <c r="J14" s="7">
        <v>110</v>
      </c>
      <c r="K14" s="7">
        <v>120</v>
      </c>
      <c r="L14" s="10" cm="1">
        <f t="array" ref="L14">_xlfn.NUMBERVALUE(_xlfn.REGEXEXTRACT(G14,"\d+"))</f>
        <v>240</v>
      </c>
      <c r="M14" s="10">
        <f t="shared" si="1"/>
        <v>192</v>
      </c>
      <c r="N14" s="10">
        <f t="shared" si="2"/>
        <v>264</v>
      </c>
      <c r="O14" s="10">
        <f t="shared" si="3"/>
        <v>288</v>
      </c>
      <c r="P14" s="3" t="s">
        <v>81</v>
      </c>
      <c r="Q14" s="7">
        <v>0</v>
      </c>
      <c r="R14" s="7">
        <v>500</v>
      </c>
      <c r="S14" s="3" t="s">
        <v>83</v>
      </c>
      <c r="T14" s="7">
        <v>0</v>
      </c>
      <c r="U14" s="7">
        <v>500</v>
      </c>
      <c r="V14" s="13">
        <v>0</v>
      </c>
      <c r="W14" s="3" t="s">
        <v>168</v>
      </c>
      <c r="X14" s="7">
        <v>0</v>
      </c>
      <c r="Y14" s="7">
        <v>0</v>
      </c>
      <c r="Z14" s="10">
        <v>0</v>
      </c>
    </row>
    <row r="15" spans="1:27" ht="26" x14ac:dyDescent="0.3">
      <c r="A15" s="3">
        <v>14</v>
      </c>
      <c r="B15" s="3" t="s">
        <v>106</v>
      </c>
      <c r="C15" s="3" t="s">
        <v>14</v>
      </c>
      <c r="D15" s="3" t="s">
        <v>43</v>
      </c>
      <c r="E15" s="3" t="s">
        <v>69</v>
      </c>
      <c r="F15" s="7">
        <v>200</v>
      </c>
      <c r="G15" s="3" t="s">
        <v>130</v>
      </c>
      <c r="H15" s="3" t="s">
        <v>128</v>
      </c>
      <c r="I15" s="7">
        <v>80</v>
      </c>
      <c r="J15" s="7">
        <v>110</v>
      </c>
      <c r="K15" s="7">
        <v>120</v>
      </c>
      <c r="L15" s="10" cm="1">
        <f t="array" ref="L15">_xlfn.NUMBERVALUE(_xlfn.REGEXEXTRACT(G15,"\d+"))</f>
        <v>10</v>
      </c>
      <c r="M15" s="10">
        <f t="shared" si="1"/>
        <v>8</v>
      </c>
      <c r="N15" s="10">
        <f t="shared" si="2"/>
        <v>11</v>
      </c>
      <c r="O15" s="10">
        <f t="shared" si="3"/>
        <v>12</v>
      </c>
      <c r="P15" s="3" t="s">
        <v>81</v>
      </c>
      <c r="Q15" s="7">
        <v>0</v>
      </c>
      <c r="R15" s="7">
        <v>200</v>
      </c>
      <c r="S15" s="3" t="s">
        <v>84</v>
      </c>
      <c r="T15" s="7">
        <v>0</v>
      </c>
      <c r="U15" s="7">
        <v>200</v>
      </c>
      <c r="V15" s="13">
        <v>0</v>
      </c>
      <c r="W15" s="3" t="s">
        <v>168</v>
      </c>
      <c r="X15" s="7">
        <v>0</v>
      </c>
      <c r="Y15" s="7">
        <v>200</v>
      </c>
      <c r="Z15" s="10">
        <v>0</v>
      </c>
    </row>
    <row r="16" spans="1:27" ht="26" x14ac:dyDescent="0.3">
      <c r="A16" s="3">
        <v>15</v>
      </c>
      <c r="B16" s="3" t="s">
        <v>107</v>
      </c>
      <c r="C16" s="3" t="s">
        <v>15</v>
      </c>
      <c r="D16" s="3" t="s">
        <v>44</v>
      </c>
      <c r="E16" s="3" t="s">
        <v>70</v>
      </c>
      <c r="F16" s="7">
        <v>320</v>
      </c>
      <c r="G16" s="3" t="s">
        <v>131</v>
      </c>
      <c r="H16" s="3" t="s">
        <v>128</v>
      </c>
      <c r="I16" s="7">
        <v>80</v>
      </c>
      <c r="J16" s="7">
        <v>110</v>
      </c>
      <c r="K16" s="7">
        <v>120</v>
      </c>
      <c r="L16" s="10" cm="1">
        <f t="array" ref="L16">_xlfn.NUMBERVALUE(_xlfn.REGEXEXTRACT(G16,"\d+"))</f>
        <v>16</v>
      </c>
      <c r="M16" s="10">
        <f t="shared" si="1"/>
        <v>12.8</v>
      </c>
      <c r="N16" s="10">
        <f t="shared" si="2"/>
        <v>17.600000000000001</v>
      </c>
      <c r="O16" s="10">
        <f t="shared" si="3"/>
        <v>19.2</v>
      </c>
      <c r="P16" s="3" t="s">
        <v>81</v>
      </c>
      <c r="Q16" s="7">
        <v>0</v>
      </c>
      <c r="R16" s="7">
        <v>320</v>
      </c>
      <c r="S16" s="3" t="s">
        <v>85</v>
      </c>
      <c r="T16" s="7">
        <v>0</v>
      </c>
      <c r="U16" s="7">
        <v>320</v>
      </c>
      <c r="V16" s="13">
        <v>0</v>
      </c>
      <c r="W16" s="3" t="s">
        <v>168</v>
      </c>
      <c r="X16" s="7">
        <v>0</v>
      </c>
      <c r="Y16" s="7">
        <v>0</v>
      </c>
      <c r="Z16" s="10">
        <v>0</v>
      </c>
    </row>
    <row r="17" spans="1:26" ht="26" x14ac:dyDescent="0.3">
      <c r="A17" s="3">
        <v>16</v>
      </c>
      <c r="B17" s="3" t="s">
        <v>108</v>
      </c>
      <c r="C17" s="3" t="s">
        <v>16</v>
      </c>
      <c r="D17" s="3" t="s">
        <v>45</v>
      </c>
      <c r="E17" s="3" t="s">
        <v>71</v>
      </c>
      <c r="F17" s="7">
        <v>1000</v>
      </c>
      <c r="G17" s="3" t="s">
        <v>135</v>
      </c>
      <c r="H17" s="3" t="s">
        <v>128</v>
      </c>
      <c r="I17" s="7">
        <v>80</v>
      </c>
      <c r="J17" s="7">
        <v>110</v>
      </c>
      <c r="K17" s="7">
        <v>120</v>
      </c>
      <c r="L17" s="10" cm="1">
        <f t="array" ref="L17">_xlfn.NUMBERVALUE(_xlfn.REGEXEXTRACT(G17,"\d+"))</f>
        <v>24</v>
      </c>
      <c r="M17" s="10">
        <f t="shared" si="1"/>
        <v>19.2</v>
      </c>
      <c r="N17" s="10">
        <f t="shared" si="2"/>
        <v>26.4</v>
      </c>
      <c r="O17" s="10">
        <f t="shared" si="3"/>
        <v>28.8</v>
      </c>
      <c r="P17" s="3" t="s">
        <v>81</v>
      </c>
      <c r="Q17" s="7">
        <v>0</v>
      </c>
      <c r="R17" s="7">
        <v>1000</v>
      </c>
      <c r="S17" s="3" t="s">
        <v>87</v>
      </c>
      <c r="T17" s="7">
        <v>0</v>
      </c>
      <c r="U17" s="7">
        <v>1000</v>
      </c>
      <c r="V17" s="13">
        <v>0</v>
      </c>
      <c r="W17" s="3" t="s">
        <v>168</v>
      </c>
      <c r="X17" s="7">
        <v>0</v>
      </c>
      <c r="Y17" s="7">
        <v>0</v>
      </c>
      <c r="Z17" s="10">
        <v>0</v>
      </c>
    </row>
    <row r="18" spans="1:26" ht="26" x14ac:dyDescent="0.3">
      <c r="A18" s="3">
        <v>17</v>
      </c>
      <c r="B18" s="3" t="s">
        <v>109</v>
      </c>
      <c r="C18" s="3" t="s">
        <v>17</v>
      </c>
      <c r="D18" s="3" t="s">
        <v>45</v>
      </c>
      <c r="E18" s="3" t="s">
        <v>71</v>
      </c>
      <c r="F18" s="7">
        <v>1000</v>
      </c>
      <c r="G18" s="3" t="s">
        <v>131</v>
      </c>
      <c r="H18" s="3" t="s">
        <v>128</v>
      </c>
      <c r="I18" s="7">
        <v>80</v>
      </c>
      <c r="J18" s="7">
        <v>110</v>
      </c>
      <c r="K18" s="7">
        <v>120</v>
      </c>
      <c r="L18" s="10" cm="1">
        <f t="array" ref="L18">_xlfn.NUMBERVALUE(_xlfn.REGEXEXTRACT(G18,"\d+"))</f>
        <v>16</v>
      </c>
      <c r="M18" s="10">
        <f t="shared" si="1"/>
        <v>12.8</v>
      </c>
      <c r="N18" s="10">
        <f t="shared" si="2"/>
        <v>17.600000000000001</v>
      </c>
      <c r="O18" s="10">
        <f t="shared" si="3"/>
        <v>19.2</v>
      </c>
      <c r="P18" s="3" t="s">
        <v>81</v>
      </c>
      <c r="Q18" s="7">
        <v>0</v>
      </c>
      <c r="R18" s="7">
        <v>1000</v>
      </c>
      <c r="S18" s="3" t="s">
        <v>85</v>
      </c>
      <c r="T18" s="7">
        <v>0</v>
      </c>
      <c r="U18" s="7">
        <v>1000</v>
      </c>
      <c r="V18" s="13">
        <v>0</v>
      </c>
      <c r="W18" s="3" t="s">
        <v>168</v>
      </c>
      <c r="X18" s="7">
        <v>0</v>
      </c>
      <c r="Y18" s="7">
        <v>0</v>
      </c>
      <c r="Z18" s="10">
        <v>0</v>
      </c>
    </row>
    <row r="19" spans="1:26" ht="26" x14ac:dyDescent="0.3">
      <c r="A19" s="3">
        <v>18</v>
      </c>
      <c r="B19" s="3" t="s">
        <v>110</v>
      </c>
      <c r="C19" s="3" t="s">
        <v>18</v>
      </c>
      <c r="D19" s="3" t="s">
        <v>45</v>
      </c>
      <c r="E19" s="3" t="s">
        <v>71</v>
      </c>
      <c r="F19" s="7">
        <v>1000</v>
      </c>
      <c r="G19" s="3" t="s">
        <v>131</v>
      </c>
      <c r="H19" s="3" t="s">
        <v>128</v>
      </c>
      <c r="I19" s="7">
        <v>80</v>
      </c>
      <c r="J19" s="7">
        <v>110</v>
      </c>
      <c r="K19" s="7">
        <v>120</v>
      </c>
      <c r="L19" s="10" cm="1">
        <f t="array" ref="L19">_xlfn.NUMBERVALUE(_xlfn.REGEXEXTRACT(G19,"\d+"))</f>
        <v>16</v>
      </c>
      <c r="M19" s="10">
        <f t="shared" si="1"/>
        <v>12.8</v>
      </c>
      <c r="N19" s="10">
        <f t="shared" si="2"/>
        <v>17.600000000000001</v>
      </c>
      <c r="O19" s="10">
        <f t="shared" si="3"/>
        <v>19.2</v>
      </c>
      <c r="P19" s="3" t="s">
        <v>81</v>
      </c>
      <c r="Q19" s="7">
        <v>0</v>
      </c>
      <c r="R19" s="7">
        <v>1000</v>
      </c>
      <c r="S19" s="3" t="s">
        <v>85</v>
      </c>
      <c r="T19" s="7">
        <v>0</v>
      </c>
      <c r="U19" s="7">
        <v>1000</v>
      </c>
      <c r="V19" s="13">
        <v>0</v>
      </c>
      <c r="W19" s="3" t="s">
        <v>168</v>
      </c>
      <c r="X19" s="7">
        <v>0</v>
      </c>
      <c r="Y19" s="7">
        <v>0</v>
      </c>
      <c r="Z19" s="10">
        <v>0</v>
      </c>
    </row>
    <row r="20" spans="1:26" ht="39" x14ac:dyDescent="0.3">
      <c r="A20" s="3">
        <v>19</v>
      </c>
      <c r="B20" s="3" t="s">
        <v>111</v>
      </c>
      <c r="C20" s="3" t="s">
        <v>19</v>
      </c>
      <c r="D20" s="3" t="s">
        <v>45</v>
      </c>
      <c r="E20" s="3" t="s">
        <v>71</v>
      </c>
      <c r="F20" s="7">
        <v>500</v>
      </c>
      <c r="G20" s="3" t="s">
        <v>136</v>
      </c>
      <c r="H20" s="3" t="s">
        <v>128</v>
      </c>
      <c r="I20" s="7">
        <v>80</v>
      </c>
      <c r="J20" s="7">
        <v>110</v>
      </c>
      <c r="K20" s="7">
        <v>120</v>
      </c>
      <c r="L20" s="10" cm="1">
        <f t="array" ref="L20">_xlfn.NUMBERVALUE(_xlfn.REGEXEXTRACT(G20,"\d+"))</f>
        <v>8</v>
      </c>
      <c r="M20" s="10">
        <f t="shared" si="1"/>
        <v>6.4</v>
      </c>
      <c r="N20" s="10">
        <f t="shared" si="2"/>
        <v>8.8000000000000007</v>
      </c>
      <c r="O20" s="10">
        <f t="shared" si="3"/>
        <v>9.6</v>
      </c>
      <c r="P20" s="3" t="s">
        <v>81</v>
      </c>
      <c r="Q20" s="7">
        <v>0</v>
      </c>
      <c r="R20" s="7">
        <v>500</v>
      </c>
      <c r="S20" s="3" t="s">
        <v>88</v>
      </c>
      <c r="T20" s="7">
        <v>0</v>
      </c>
      <c r="U20" s="7">
        <v>500</v>
      </c>
      <c r="V20" s="13">
        <v>0</v>
      </c>
      <c r="W20" s="3" t="s">
        <v>168</v>
      </c>
      <c r="X20" s="7">
        <v>0</v>
      </c>
      <c r="Y20" s="7">
        <v>0</v>
      </c>
      <c r="Z20" s="10">
        <v>0</v>
      </c>
    </row>
    <row r="21" spans="1:26" ht="26" x14ac:dyDescent="0.3">
      <c r="A21" s="3">
        <v>20</v>
      </c>
      <c r="B21" s="3" t="s">
        <v>112</v>
      </c>
      <c r="C21" s="3" t="s">
        <v>20</v>
      </c>
      <c r="D21" s="3" t="s">
        <v>45</v>
      </c>
      <c r="E21" s="3" t="s">
        <v>71</v>
      </c>
      <c r="F21" s="7">
        <v>500</v>
      </c>
      <c r="G21" s="3" t="s">
        <v>136</v>
      </c>
      <c r="H21" s="3" t="s">
        <v>128</v>
      </c>
      <c r="I21" s="7">
        <v>80</v>
      </c>
      <c r="J21" s="7">
        <v>110</v>
      </c>
      <c r="K21" s="7">
        <v>120</v>
      </c>
      <c r="L21" s="10" cm="1">
        <f t="array" ref="L21">_xlfn.NUMBERVALUE(_xlfn.REGEXEXTRACT(G21,"\d+"))</f>
        <v>8</v>
      </c>
      <c r="M21" s="10">
        <f t="shared" si="1"/>
        <v>6.4</v>
      </c>
      <c r="N21" s="10">
        <f t="shared" si="2"/>
        <v>8.8000000000000007</v>
      </c>
      <c r="O21" s="10">
        <f t="shared" si="3"/>
        <v>9.6</v>
      </c>
      <c r="P21" s="3" t="s">
        <v>81</v>
      </c>
      <c r="Q21" s="7">
        <v>0</v>
      </c>
      <c r="R21" s="7">
        <v>500</v>
      </c>
      <c r="S21" s="3" t="s">
        <v>88</v>
      </c>
      <c r="T21" s="7">
        <v>0</v>
      </c>
      <c r="U21" s="7">
        <v>500</v>
      </c>
      <c r="V21" s="13">
        <v>0</v>
      </c>
      <c r="W21" s="3" t="s">
        <v>168</v>
      </c>
      <c r="X21" s="7">
        <v>0</v>
      </c>
      <c r="Y21" s="7">
        <v>0</v>
      </c>
      <c r="Z21" s="10">
        <v>0</v>
      </c>
    </row>
    <row r="22" spans="1:26" ht="39" x14ac:dyDescent="0.3">
      <c r="A22" s="3">
        <v>21</v>
      </c>
      <c r="B22" s="3" t="s">
        <v>113</v>
      </c>
      <c r="C22" s="3" t="s">
        <v>21</v>
      </c>
      <c r="D22" s="3" t="s">
        <v>38</v>
      </c>
      <c r="E22" s="3" t="s">
        <v>71</v>
      </c>
      <c r="F22" s="7">
        <v>4800</v>
      </c>
      <c r="G22" s="3" t="s">
        <v>137</v>
      </c>
      <c r="H22" s="3" t="s">
        <v>128</v>
      </c>
      <c r="I22" s="7">
        <v>80</v>
      </c>
      <c r="J22" s="7">
        <v>110</v>
      </c>
      <c r="K22" s="7">
        <v>120</v>
      </c>
      <c r="L22" s="10" cm="1">
        <f t="array" ref="L22">_xlfn.NUMBERVALUE(_xlfn.REGEXEXTRACT(G22,"\d+"))</f>
        <v>48</v>
      </c>
      <c r="M22" s="10">
        <f t="shared" si="1"/>
        <v>38.4</v>
      </c>
      <c r="N22" s="10">
        <f t="shared" si="2"/>
        <v>52.8</v>
      </c>
      <c r="O22" s="10">
        <f t="shared" si="3"/>
        <v>57.6</v>
      </c>
      <c r="P22" s="3" t="s">
        <v>161</v>
      </c>
      <c r="Q22" s="7">
        <v>7000</v>
      </c>
      <c r="R22" s="7">
        <v>800</v>
      </c>
      <c r="S22" s="3" t="s">
        <v>88</v>
      </c>
      <c r="T22" s="7">
        <v>7000</v>
      </c>
      <c r="U22" s="7">
        <v>800</v>
      </c>
      <c r="V22" s="12">
        <v>0.897435903549194</v>
      </c>
      <c r="W22" s="5" t="s">
        <v>163</v>
      </c>
      <c r="X22" s="7">
        <v>4307.6923370361301</v>
      </c>
      <c r="Y22" s="7">
        <v>4800</v>
      </c>
      <c r="Z22" s="10" cm="1">
        <f t="array" ref="Z22">_xlfn.NUMBERVALUE(_xlfn.REGEXEXTRACT(P22,"\d+"))*8+_xlfn.NUMBERVALUE(_xlfn.REGEXEXTRACT(P22," \d+"))</f>
        <v>70</v>
      </c>
    </row>
    <row r="23" spans="1:26" ht="39" x14ac:dyDescent="0.3">
      <c r="A23" s="3">
        <v>22</v>
      </c>
      <c r="B23" s="3" t="s">
        <v>114</v>
      </c>
      <c r="C23" s="3" t="s">
        <v>22</v>
      </c>
      <c r="D23" s="3" t="s">
        <v>46</v>
      </c>
      <c r="E23" s="3" t="s">
        <v>72</v>
      </c>
      <c r="F23" s="7">
        <v>640</v>
      </c>
      <c r="G23" s="3" t="s">
        <v>131</v>
      </c>
      <c r="H23" s="3" t="s">
        <v>128</v>
      </c>
      <c r="I23" s="7">
        <v>80</v>
      </c>
      <c r="J23" s="7">
        <v>110</v>
      </c>
      <c r="K23" s="7">
        <v>120</v>
      </c>
      <c r="L23" s="10" cm="1">
        <f t="array" ref="L23">_xlfn.NUMBERVALUE(_xlfn.REGEXEXTRACT(G23,"\d+"))</f>
        <v>16</v>
      </c>
      <c r="M23" s="10">
        <f t="shared" si="1"/>
        <v>12.8</v>
      </c>
      <c r="N23" s="10">
        <f t="shared" si="2"/>
        <v>17.600000000000001</v>
      </c>
      <c r="O23" s="10">
        <f t="shared" si="3"/>
        <v>19.2</v>
      </c>
      <c r="P23" s="3" t="s">
        <v>81</v>
      </c>
      <c r="Q23" s="7">
        <v>0</v>
      </c>
      <c r="R23" s="7">
        <v>640</v>
      </c>
      <c r="S23" s="3" t="s">
        <v>85</v>
      </c>
      <c r="T23" s="7">
        <v>0</v>
      </c>
      <c r="U23" s="7">
        <v>640</v>
      </c>
      <c r="V23" s="13">
        <v>0</v>
      </c>
      <c r="W23" s="3" t="s">
        <v>168</v>
      </c>
      <c r="X23" s="7">
        <v>0</v>
      </c>
      <c r="Y23" s="7">
        <v>0</v>
      </c>
      <c r="Z23" s="10">
        <v>0</v>
      </c>
    </row>
    <row r="24" spans="1:26" ht="26" x14ac:dyDescent="0.3">
      <c r="A24" s="3">
        <v>23</v>
      </c>
      <c r="B24" s="3" t="s">
        <v>115</v>
      </c>
      <c r="C24" s="3" t="s">
        <v>23</v>
      </c>
      <c r="D24" s="3" t="s">
        <v>47</v>
      </c>
      <c r="E24" s="3" t="s">
        <v>73</v>
      </c>
      <c r="F24" s="7">
        <v>200</v>
      </c>
      <c r="G24" s="3" t="s">
        <v>136</v>
      </c>
      <c r="H24" s="3" t="s">
        <v>128</v>
      </c>
      <c r="I24" s="7">
        <v>80</v>
      </c>
      <c r="J24" s="7">
        <v>110</v>
      </c>
      <c r="K24" s="7">
        <v>120</v>
      </c>
      <c r="L24" s="10" cm="1">
        <f t="array" ref="L24">_xlfn.NUMBERVALUE(_xlfn.REGEXEXTRACT(G24,"\d+"))</f>
        <v>8</v>
      </c>
      <c r="M24" s="10">
        <f t="shared" si="1"/>
        <v>6.4</v>
      </c>
      <c r="N24" s="10">
        <f t="shared" si="2"/>
        <v>8.8000000000000007</v>
      </c>
      <c r="O24" s="10">
        <f t="shared" si="3"/>
        <v>9.6</v>
      </c>
      <c r="P24" s="3" t="s">
        <v>81</v>
      </c>
      <c r="Q24" s="7">
        <v>0</v>
      </c>
      <c r="R24" s="7">
        <v>200</v>
      </c>
      <c r="S24" s="3" t="s">
        <v>88</v>
      </c>
      <c r="T24" s="7">
        <v>0</v>
      </c>
      <c r="U24" s="7">
        <v>200</v>
      </c>
      <c r="V24" s="13">
        <v>0</v>
      </c>
      <c r="W24" s="3" t="s">
        <v>168</v>
      </c>
      <c r="X24" s="7">
        <v>0</v>
      </c>
      <c r="Y24" s="7">
        <v>0</v>
      </c>
      <c r="Z24" s="10">
        <v>0</v>
      </c>
    </row>
    <row r="25" spans="1:26" ht="26" x14ac:dyDescent="0.3">
      <c r="A25" s="3">
        <v>24</v>
      </c>
      <c r="B25" s="3" t="s">
        <v>116</v>
      </c>
      <c r="C25" s="3" t="s">
        <v>24</v>
      </c>
      <c r="D25" s="3" t="s">
        <v>48</v>
      </c>
      <c r="E25" s="3" t="s">
        <v>69</v>
      </c>
      <c r="F25" s="7">
        <v>1120</v>
      </c>
      <c r="G25" s="3" t="s">
        <v>134</v>
      </c>
      <c r="H25" s="3" t="s">
        <v>128</v>
      </c>
      <c r="I25" s="7">
        <v>80</v>
      </c>
      <c r="J25" s="7">
        <v>110</v>
      </c>
      <c r="K25" s="7">
        <v>120</v>
      </c>
      <c r="L25" s="10" cm="1">
        <f t="array" ref="L25">_xlfn.NUMBERVALUE(_xlfn.REGEXEXTRACT(G25,"\d+"))</f>
        <v>56</v>
      </c>
      <c r="M25" s="10">
        <f t="shared" si="1"/>
        <v>44.8</v>
      </c>
      <c r="N25" s="10">
        <f t="shared" si="2"/>
        <v>61.6</v>
      </c>
      <c r="O25" s="10">
        <f t="shared" si="3"/>
        <v>67.2</v>
      </c>
      <c r="P25" s="3" t="s">
        <v>81</v>
      </c>
      <c r="Q25" s="7">
        <v>0</v>
      </c>
      <c r="R25" s="7">
        <v>1120</v>
      </c>
      <c r="S25" s="3" t="s">
        <v>86</v>
      </c>
      <c r="T25" s="7">
        <v>0</v>
      </c>
      <c r="U25" s="7">
        <v>1120</v>
      </c>
      <c r="V25" s="13">
        <v>0</v>
      </c>
      <c r="W25" s="3" t="s">
        <v>168</v>
      </c>
      <c r="X25" s="7">
        <v>0</v>
      </c>
      <c r="Y25" s="7">
        <v>280</v>
      </c>
      <c r="Z25" s="10">
        <v>0</v>
      </c>
    </row>
    <row r="26" spans="1:26" ht="26" x14ac:dyDescent="0.3">
      <c r="A26" s="3">
        <v>25</v>
      </c>
      <c r="B26" s="3" t="s">
        <v>117</v>
      </c>
      <c r="C26" s="3" t="s">
        <v>25</v>
      </c>
      <c r="D26" s="3" t="s">
        <v>49</v>
      </c>
      <c r="E26" s="3" t="s">
        <v>74</v>
      </c>
      <c r="F26" s="7">
        <v>1000</v>
      </c>
      <c r="G26" s="3" t="s">
        <v>136</v>
      </c>
      <c r="H26" s="3" t="s">
        <v>128</v>
      </c>
      <c r="I26" s="7">
        <v>80</v>
      </c>
      <c r="J26" s="7">
        <v>110</v>
      </c>
      <c r="K26" s="7">
        <v>120</v>
      </c>
      <c r="L26" s="10" cm="1">
        <f t="array" ref="L26">_xlfn.NUMBERVALUE(_xlfn.REGEXEXTRACT(G26,"\d+"))</f>
        <v>8</v>
      </c>
      <c r="M26" s="10">
        <f t="shared" si="1"/>
        <v>6.4</v>
      </c>
      <c r="N26" s="10">
        <f t="shared" si="2"/>
        <v>8.8000000000000007</v>
      </c>
      <c r="O26" s="10">
        <f t="shared" si="3"/>
        <v>9.6</v>
      </c>
      <c r="P26" s="3" t="s">
        <v>81</v>
      </c>
      <c r="Q26" s="7">
        <v>0</v>
      </c>
      <c r="R26" s="7">
        <v>1000</v>
      </c>
      <c r="S26" s="3" t="s">
        <v>88</v>
      </c>
      <c r="T26" s="7">
        <v>0</v>
      </c>
      <c r="U26" s="7">
        <v>1000</v>
      </c>
      <c r="V26" s="13">
        <v>0</v>
      </c>
      <c r="W26" s="3" t="s">
        <v>168</v>
      </c>
      <c r="X26" s="7">
        <v>0</v>
      </c>
      <c r="Y26" s="7">
        <v>0</v>
      </c>
      <c r="Z26" s="10">
        <v>0</v>
      </c>
    </row>
    <row r="27" spans="1:26" ht="26" x14ac:dyDescent="0.3">
      <c r="A27" s="3">
        <v>26</v>
      </c>
      <c r="B27" s="3" t="s">
        <v>118</v>
      </c>
      <c r="C27" s="3" t="s">
        <v>26</v>
      </c>
      <c r="D27" s="3" t="s">
        <v>50</v>
      </c>
      <c r="E27" s="3" t="s">
        <v>68</v>
      </c>
      <c r="F27" s="7">
        <v>640</v>
      </c>
      <c r="G27" s="3" t="s">
        <v>131</v>
      </c>
      <c r="H27" s="3" t="s">
        <v>128</v>
      </c>
      <c r="I27" s="7">
        <v>80</v>
      </c>
      <c r="J27" s="7">
        <v>110</v>
      </c>
      <c r="K27" s="7">
        <v>120</v>
      </c>
      <c r="L27" s="10" cm="1">
        <f t="array" ref="L27">_xlfn.NUMBERVALUE(_xlfn.REGEXEXTRACT(G27,"\d+"))</f>
        <v>16</v>
      </c>
      <c r="M27" s="10">
        <f t="shared" si="1"/>
        <v>12.8</v>
      </c>
      <c r="N27" s="10">
        <f t="shared" si="2"/>
        <v>17.600000000000001</v>
      </c>
      <c r="O27" s="10">
        <f t="shared" si="3"/>
        <v>19.2</v>
      </c>
      <c r="P27" s="3" t="s">
        <v>81</v>
      </c>
      <c r="Q27" s="7">
        <v>0</v>
      </c>
      <c r="R27" s="7">
        <v>640</v>
      </c>
      <c r="S27" s="3" t="s">
        <v>85</v>
      </c>
      <c r="T27" s="7">
        <v>0</v>
      </c>
      <c r="U27" s="7">
        <v>640</v>
      </c>
      <c r="V27" s="13">
        <v>0</v>
      </c>
      <c r="W27" s="3" t="s">
        <v>168</v>
      </c>
      <c r="X27" s="7">
        <v>0</v>
      </c>
      <c r="Y27" s="7">
        <v>0</v>
      </c>
      <c r="Z27" s="10">
        <v>0</v>
      </c>
    </row>
    <row r="28" spans="1:26" ht="26" x14ac:dyDescent="0.3">
      <c r="A28" s="3">
        <v>27</v>
      </c>
      <c r="B28" s="3" t="s">
        <v>119</v>
      </c>
      <c r="C28" s="3" t="s">
        <v>27</v>
      </c>
      <c r="D28" s="3" t="s">
        <v>51</v>
      </c>
      <c r="E28" s="3" t="s">
        <v>75</v>
      </c>
      <c r="F28" s="7">
        <v>24000</v>
      </c>
      <c r="G28" s="3" t="s">
        <v>129</v>
      </c>
      <c r="H28" s="3" t="s">
        <v>126</v>
      </c>
      <c r="I28" s="7">
        <v>99</v>
      </c>
      <c r="J28" s="7">
        <v>100</v>
      </c>
      <c r="K28" s="7">
        <v>101</v>
      </c>
      <c r="L28" s="10" cm="1">
        <f t="array" ref="L28">_xlfn.NUMBERVALUE(_xlfn.REGEXEXTRACT(G28,"\d+"))</f>
        <v>240</v>
      </c>
      <c r="M28" s="10">
        <f t="shared" si="1"/>
        <v>237.6</v>
      </c>
      <c r="N28" s="10">
        <f t="shared" si="2"/>
        <v>240</v>
      </c>
      <c r="O28" s="10">
        <f t="shared" si="3"/>
        <v>242.4</v>
      </c>
      <c r="P28" s="3" t="s">
        <v>81</v>
      </c>
      <c r="Q28" s="7">
        <v>0</v>
      </c>
      <c r="R28" s="7">
        <v>24000</v>
      </c>
      <c r="S28" s="3" t="s">
        <v>83</v>
      </c>
      <c r="T28" s="7">
        <v>0</v>
      </c>
      <c r="U28" s="7">
        <v>24000</v>
      </c>
      <c r="V28" s="13">
        <v>0</v>
      </c>
      <c r="W28" s="3" t="s">
        <v>168</v>
      </c>
      <c r="X28" s="7">
        <v>0</v>
      </c>
      <c r="Y28" s="7">
        <v>0</v>
      </c>
      <c r="Z28" s="10">
        <v>0</v>
      </c>
    </row>
    <row r="29" spans="1:26" ht="26" x14ac:dyDescent="0.3">
      <c r="A29" s="3">
        <v>28</v>
      </c>
      <c r="B29" s="3" t="s">
        <v>120</v>
      </c>
      <c r="C29" s="3" t="s">
        <v>28</v>
      </c>
      <c r="D29" s="3" t="s">
        <v>52</v>
      </c>
      <c r="E29" s="3" t="s">
        <v>76</v>
      </c>
      <c r="F29" s="7">
        <v>200</v>
      </c>
      <c r="G29" s="3" t="s">
        <v>130</v>
      </c>
      <c r="H29" s="3" t="s">
        <v>126</v>
      </c>
      <c r="I29" s="7">
        <v>99</v>
      </c>
      <c r="J29" s="7">
        <v>100</v>
      </c>
      <c r="K29" s="7">
        <v>101</v>
      </c>
      <c r="L29" s="10" cm="1">
        <f t="array" ref="L29">_xlfn.NUMBERVALUE(_xlfn.REGEXEXTRACT(G29,"\d+"))</f>
        <v>10</v>
      </c>
      <c r="M29" s="10">
        <f t="shared" si="1"/>
        <v>9.9</v>
      </c>
      <c r="N29" s="10">
        <f t="shared" si="2"/>
        <v>10</v>
      </c>
      <c r="O29" s="10">
        <f t="shared" si="3"/>
        <v>10.1</v>
      </c>
      <c r="P29" s="3" t="s">
        <v>81</v>
      </c>
      <c r="Q29" s="7">
        <v>0</v>
      </c>
      <c r="R29" s="7">
        <v>200</v>
      </c>
      <c r="S29" s="3" t="s">
        <v>84</v>
      </c>
      <c r="T29" s="7">
        <v>0</v>
      </c>
      <c r="U29" s="7">
        <v>200</v>
      </c>
      <c r="V29" s="13">
        <v>0</v>
      </c>
      <c r="W29" s="3" t="s">
        <v>168</v>
      </c>
      <c r="X29" s="7">
        <v>0</v>
      </c>
      <c r="Y29" s="7">
        <v>0</v>
      </c>
      <c r="Z29" s="10">
        <v>0</v>
      </c>
    </row>
    <row r="30" spans="1:26" ht="26" x14ac:dyDescent="0.3">
      <c r="A30" s="3">
        <v>29</v>
      </c>
      <c r="B30" s="3" t="s">
        <v>121</v>
      </c>
      <c r="C30" s="3" t="s">
        <v>29</v>
      </c>
      <c r="D30" s="3" t="s">
        <v>53</v>
      </c>
      <c r="E30" s="3" t="s">
        <v>77</v>
      </c>
      <c r="F30" s="7">
        <v>200</v>
      </c>
      <c r="G30" s="3" t="s">
        <v>130</v>
      </c>
      <c r="H30" s="3" t="s">
        <v>128</v>
      </c>
      <c r="I30" s="7">
        <v>80</v>
      </c>
      <c r="J30" s="7">
        <v>110</v>
      </c>
      <c r="K30" s="7">
        <v>120</v>
      </c>
      <c r="L30" s="10" cm="1">
        <f t="array" ref="L30">_xlfn.NUMBERVALUE(_xlfn.REGEXEXTRACT(G30,"\d+"))</f>
        <v>10</v>
      </c>
      <c r="M30" s="10">
        <f t="shared" si="1"/>
        <v>8</v>
      </c>
      <c r="N30" s="10">
        <f t="shared" si="2"/>
        <v>11</v>
      </c>
      <c r="O30" s="10">
        <f t="shared" si="3"/>
        <v>12</v>
      </c>
      <c r="P30" s="3" t="s">
        <v>81</v>
      </c>
      <c r="Q30" s="7">
        <v>0</v>
      </c>
      <c r="R30" s="7">
        <v>200</v>
      </c>
      <c r="S30" s="3" t="s">
        <v>84</v>
      </c>
      <c r="T30" s="7">
        <v>0</v>
      </c>
      <c r="U30" s="7">
        <v>200</v>
      </c>
      <c r="V30" s="13">
        <v>0</v>
      </c>
      <c r="W30" s="3" t="s">
        <v>168</v>
      </c>
      <c r="X30" s="7">
        <v>0</v>
      </c>
      <c r="Y30" s="7">
        <v>0</v>
      </c>
      <c r="Z30" s="10">
        <v>0</v>
      </c>
    </row>
    <row r="31" spans="1:26" ht="26" x14ac:dyDescent="0.3">
      <c r="A31" s="3">
        <v>30</v>
      </c>
      <c r="B31" s="3" t="s">
        <v>122</v>
      </c>
      <c r="C31" s="3" t="s">
        <v>30</v>
      </c>
      <c r="D31" s="3" t="s">
        <v>54</v>
      </c>
      <c r="E31" s="3" t="s">
        <v>78</v>
      </c>
      <c r="F31" s="7">
        <v>1000</v>
      </c>
      <c r="G31" s="3" t="s">
        <v>130</v>
      </c>
      <c r="H31" s="3" t="s">
        <v>128</v>
      </c>
      <c r="I31" s="7">
        <v>80</v>
      </c>
      <c r="J31" s="7">
        <v>110</v>
      </c>
      <c r="K31" s="7">
        <v>120</v>
      </c>
      <c r="L31" s="10" cm="1">
        <f t="array" ref="L31">_xlfn.NUMBERVALUE(_xlfn.REGEXEXTRACT(G31,"\d+"))</f>
        <v>10</v>
      </c>
      <c r="M31" s="10">
        <f t="shared" si="1"/>
        <v>8</v>
      </c>
      <c r="N31" s="10">
        <f t="shared" si="2"/>
        <v>11</v>
      </c>
      <c r="O31" s="10">
        <f t="shared" si="3"/>
        <v>12</v>
      </c>
      <c r="P31" s="3" t="s">
        <v>81</v>
      </c>
      <c r="Q31" s="7">
        <v>0</v>
      </c>
      <c r="R31" s="7">
        <v>1000</v>
      </c>
      <c r="S31" s="3" t="s">
        <v>84</v>
      </c>
      <c r="T31" s="7">
        <v>0</v>
      </c>
      <c r="U31" s="7">
        <v>1000</v>
      </c>
      <c r="V31" s="13">
        <v>0</v>
      </c>
      <c r="W31" s="3" t="s">
        <v>168</v>
      </c>
      <c r="X31" s="7">
        <v>0</v>
      </c>
      <c r="Y31" s="7">
        <v>0</v>
      </c>
      <c r="Z31" s="10">
        <v>0</v>
      </c>
    </row>
    <row r="32" spans="1:26" ht="26" x14ac:dyDescent="0.3">
      <c r="A32" s="3">
        <v>31</v>
      </c>
      <c r="B32" s="3" t="s">
        <v>123</v>
      </c>
      <c r="C32" s="3" t="s">
        <v>31</v>
      </c>
      <c r="D32" s="3" t="s">
        <v>54</v>
      </c>
      <c r="E32" s="3" t="s">
        <v>78</v>
      </c>
      <c r="F32" s="7">
        <v>0</v>
      </c>
      <c r="G32" s="3" t="s">
        <v>131</v>
      </c>
      <c r="H32" s="3" t="s">
        <v>128</v>
      </c>
      <c r="I32" s="7">
        <v>80</v>
      </c>
      <c r="J32" s="7">
        <v>110</v>
      </c>
      <c r="K32" s="7">
        <v>120</v>
      </c>
      <c r="L32" s="10" cm="1">
        <f t="array" ref="L32">_xlfn.NUMBERVALUE(_xlfn.REGEXEXTRACT(G32,"\d+"))</f>
        <v>16</v>
      </c>
      <c r="M32" s="10">
        <f t="shared" si="1"/>
        <v>12.8</v>
      </c>
      <c r="N32" s="10">
        <f t="shared" si="2"/>
        <v>17.600000000000001</v>
      </c>
      <c r="O32" s="10">
        <f t="shared" si="3"/>
        <v>19.2</v>
      </c>
      <c r="P32" s="3" t="s">
        <v>81</v>
      </c>
      <c r="Q32" s="7">
        <v>0</v>
      </c>
      <c r="R32" s="7">
        <v>0</v>
      </c>
      <c r="S32" s="3" t="s">
        <v>85</v>
      </c>
      <c r="T32" s="7">
        <v>0</v>
      </c>
      <c r="U32" s="7">
        <v>0</v>
      </c>
      <c r="V32" s="13">
        <v>0</v>
      </c>
      <c r="W32" s="3" t="s">
        <v>168</v>
      </c>
      <c r="X32" s="7">
        <v>0</v>
      </c>
      <c r="Y32" s="7">
        <v>0</v>
      </c>
      <c r="Z32" s="10">
        <v>0</v>
      </c>
    </row>
    <row r="33" spans="1:26" ht="26" x14ac:dyDescent="0.3">
      <c r="A33" s="3">
        <v>32</v>
      </c>
      <c r="B33" s="3" t="s">
        <v>124</v>
      </c>
      <c r="C33" s="3" t="s">
        <v>32</v>
      </c>
      <c r="D33" s="3" t="s">
        <v>55</v>
      </c>
      <c r="E33" s="3" t="s">
        <v>79</v>
      </c>
      <c r="F33" s="7">
        <v>200</v>
      </c>
      <c r="G33" s="3" t="s">
        <v>136</v>
      </c>
      <c r="H33" s="3" t="s">
        <v>128</v>
      </c>
      <c r="I33" s="7">
        <v>80</v>
      </c>
      <c r="J33" s="7">
        <v>110</v>
      </c>
      <c r="K33" s="7">
        <v>120</v>
      </c>
      <c r="L33" s="10" cm="1">
        <f t="array" ref="L33">_xlfn.NUMBERVALUE(_xlfn.REGEXEXTRACT(G33,"\d+"))</f>
        <v>8</v>
      </c>
      <c r="M33" s="10">
        <f t="shared" si="1"/>
        <v>6.4</v>
      </c>
      <c r="N33" s="10">
        <f t="shared" si="2"/>
        <v>8.8000000000000007</v>
      </c>
      <c r="O33" s="10">
        <f t="shared" si="3"/>
        <v>9.6</v>
      </c>
      <c r="P33" s="3" t="s">
        <v>81</v>
      </c>
      <c r="Q33" s="7">
        <v>0</v>
      </c>
      <c r="R33" s="7">
        <v>200</v>
      </c>
      <c r="S33" s="3" t="s">
        <v>88</v>
      </c>
      <c r="T33" s="7">
        <v>0</v>
      </c>
      <c r="U33" s="7">
        <v>200</v>
      </c>
      <c r="V33" s="13">
        <v>0</v>
      </c>
      <c r="W33" s="3" t="s">
        <v>168</v>
      </c>
      <c r="X33" s="7">
        <v>0</v>
      </c>
      <c r="Y33" s="7">
        <v>0</v>
      </c>
      <c r="Z33" s="10">
        <v>0</v>
      </c>
    </row>
    <row r="34" spans="1:26" ht="26" x14ac:dyDescent="0.3">
      <c r="A34" s="3">
        <v>33</v>
      </c>
      <c r="B34" s="3" t="s">
        <v>125</v>
      </c>
      <c r="C34" s="3" t="s">
        <v>33</v>
      </c>
      <c r="D34" s="3" t="s">
        <v>56</v>
      </c>
      <c r="E34" s="3"/>
      <c r="F34" s="7">
        <v>0</v>
      </c>
      <c r="G34" s="3" t="s">
        <v>81</v>
      </c>
      <c r="H34" s="3" t="s">
        <v>126</v>
      </c>
      <c r="I34" s="7">
        <v>99</v>
      </c>
      <c r="J34" s="7">
        <v>100</v>
      </c>
      <c r="K34" s="7">
        <v>101</v>
      </c>
      <c r="L34" s="10">
        <f>_xlfn.NUMBERVALUE(G34)</f>
        <v>0</v>
      </c>
      <c r="M34" s="7">
        <v>0</v>
      </c>
      <c r="N34" s="7">
        <v>0</v>
      </c>
      <c r="O34" s="7">
        <v>0</v>
      </c>
      <c r="P34" s="3" t="s">
        <v>81</v>
      </c>
      <c r="Q34" s="7">
        <v>0</v>
      </c>
      <c r="R34" s="7">
        <v>0</v>
      </c>
      <c r="S34" s="3" t="s">
        <v>81</v>
      </c>
      <c r="T34" s="7">
        <v>0</v>
      </c>
      <c r="U34" s="7">
        <v>0</v>
      </c>
      <c r="V34" s="13">
        <v>0</v>
      </c>
      <c r="W34" s="3" t="s">
        <v>168</v>
      </c>
      <c r="X34" s="7">
        <v>0</v>
      </c>
      <c r="Y34" s="7">
        <v>0</v>
      </c>
      <c r="Z34" s="10">
        <v>0</v>
      </c>
    </row>
  </sheetData>
  <pageMargins left="0.7" right="0.7" top="0.75" bottom="0.75" header="0.3" footer="0.3"/>
  <pageSetup paperSize="9" orientation="portrait" r:id="rId1"/>
  <ignoredErrors>
    <ignoredError sqref="Z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IGNACIO SANTOS MARTIN</dc:creator>
  <cp:lastModifiedBy>JOSE IGNACIO SANTOS MARTIN</cp:lastModifiedBy>
  <dcterms:created xsi:type="dcterms:W3CDTF">2025-03-06T10:01:03Z</dcterms:created>
  <dcterms:modified xsi:type="dcterms:W3CDTF">2025-03-10T10:23:32Z</dcterms:modified>
</cp:coreProperties>
</file>