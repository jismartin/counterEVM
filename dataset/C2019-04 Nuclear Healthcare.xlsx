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jisantos_ubu_es/Documents/CodeDrive/GitHub/counterEVM-1/dataset/"/>
    </mc:Choice>
  </mc:AlternateContent>
  <xr:revisionPtr revIDLastSave="0" documentId="11_D12847BBEEB5AD04807A86A62816BD95B69D9F54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TP7" sheetId="11" r:id="rId11"/>
    <sheet name="TP8" sheetId="12" r:id="rId12"/>
    <sheet name="TP9" sheetId="13" r:id="rId13"/>
    <sheet name="TP10" sheetId="14" r:id="rId14"/>
    <sheet name="TP11" sheetId="15" r:id="rId15"/>
    <sheet name="TP12" sheetId="16" r:id="rId16"/>
    <sheet name="TP13" sheetId="17" r:id="rId17"/>
    <sheet name="TP14" sheetId="18" r:id="rId18"/>
    <sheet name="TP15" sheetId="19" r:id="rId19"/>
    <sheet name="TP16" sheetId="20" r:id="rId20"/>
    <sheet name="TP17" sheetId="21" r:id="rId21"/>
    <sheet name="TP18" sheetId="22" r:id="rId22"/>
    <sheet name="TP19" sheetId="23" r:id="rId23"/>
    <sheet name="TP20" sheetId="24" r:id="rId24"/>
    <sheet name="TP21" sheetId="25" r:id="rId25"/>
    <sheet name="TP22" sheetId="26" r:id="rId26"/>
    <sheet name="TP23" sheetId="27" r:id="rId27"/>
    <sheet name="TP24" sheetId="28" r:id="rId28"/>
    <sheet name="Agenda" sheetId="29" r:id="rId29"/>
    <sheet name="Tracking Overview" sheetId="30" r:id="rId30"/>
    <sheet name="AC, EV, PV" sheetId="31" r:id="rId31"/>
    <sheet name="SPI, SPI(t), p-factor" sheetId="32" r:id="rId32"/>
    <sheet name="Corrective actions Overview" sheetId="33" r:id="rId3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<sst xmlns="http://schemas.openxmlformats.org/spreadsheetml/2006/main" count="5646" uniqueCount="392">
  <si>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</si>
  <si>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</si>
  <si>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</si>
  <si>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</si>
  <si>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</si>
  <si>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</si>
  <si>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</si>
  <si>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</si>
  <si>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</si>
  <si>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</si>
  <si>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</si>
  <si>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</si>
  <si>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</si>
  <si>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</si>
  <si>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</si>
  <si>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</si>
  <si>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</si>
  <si>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</si>
  <si>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 Nuclear Healthcare</t>
  </si>
  <si>
    <t>1</t>
  </si>
  <si>
    <t>373d</t>
  </si>
  <si>
    <t>Fase 1 Voorontwerp</t>
  </si>
  <si>
    <t>1.1</t>
  </si>
  <si>
    <t>18d</t>
  </si>
  <si>
    <t>Fase 2 opmaak ontwerp &amp;amp; studie</t>
  </si>
  <si>
    <t>1.2</t>
  </si>
  <si>
    <t>21d</t>
  </si>
  <si>
    <t>schriftelijke goedkeuring opstarten aanbesteding</t>
  </si>
  <si>
    <t>1.3</t>
  </si>
  <si>
    <t>51d</t>
  </si>
  <si>
    <t>Fase 3 opmaak bouwvergunningsdossier</t>
  </si>
  <si>
    <t>1.4</t>
  </si>
  <si>
    <t>20d</t>
  </si>
  <si>
    <t>indienen bouwvergunning en wachten op goedkeuring</t>
  </si>
  <si>
    <t>1.5</t>
  </si>
  <si>
    <t>56d</t>
  </si>
  <si>
    <t>opstellen lastencohier</t>
  </si>
  <si>
    <t>1.6</t>
  </si>
  <si>
    <t>24d</t>
  </si>
  <si>
    <t>opmaak dossier</t>
  </si>
  <si>
    <t>1.7</t>
  </si>
  <si>
    <t>5d</t>
  </si>
  <si>
    <t>goedkeuring dossier</t>
  </si>
  <si>
    <t>1.8</t>
  </si>
  <si>
    <t>1d</t>
  </si>
  <si>
    <t>publicatie</t>
  </si>
  <si>
    <t>1.9</t>
  </si>
  <si>
    <t>indieningstermijn</t>
  </si>
  <si>
    <t>1.10</t>
  </si>
  <si>
    <t>15d</t>
  </si>
  <si>
    <t>opening</t>
  </si>
  <si>
    <t>1.11</t>
  </si>
  <si>
    <t>Fase 4 onderzoek offertes</t>
  </si>
  <si>
    <t>1.12</t>
  </si>
  <si>
    <t>10d</t>
  </si>
  <si>
    <t>opmaak verslag</t>
  </si>
  <si>
    <t>1.13</t>
  </si>
  <si>
    <t>goedkeuring RC</t>
  </si>
  <si>
    <t>1.14</t>
  </si>
  <si>
    <t>indienen RvB</t>
  </si>
  <si>
    <t>1.15</t>
  </si>
  <si>
    <t>goedkeuring RvB</t>
  </si>
  <si>
    <t>1.16</t>
  </si>
  <si>
    <t>standstill</t>
  </si>
  <si>
    <t>1.17</t>
  </si>
  <si>
    <t>bestelling</t>
  </si>
  <si>
    <t>1.18</t>
  </si>
  <si>
    <t>pre-FASE: afbraakwerken/leegmaken lokalen</t>
  </si>
  <si>
    <t>1.19</t>
  </si>
  <si>
    <t>voorafgaand leegmaken locatie + afbraakwerken</t>
  </si>
  <si>
    <t>1.19.1</t>
  </si>
  <si>
    <t>Fase 0 : SPECT/CT 3</t>
  </si>
  <si>
    <t>1.20</t>
  </si>
  <si>
    <t>60d</t>
  </si>
  <si>
    <t>inrichtingswerken</t>
  </si>
  <si>
    <t>1.20.1</t>
  </si>
  <si>
    <t>55d</t>
  </si>
  <si>
    <t>opkuis en reserve</t>
  </si>
  <si>
    <t>1.20.2</t>
  </si>
  <si>
    <t>ingebruikname</t>
  </si>
  <si>
    <t>1.20.3</t>
  </si>
  <si>
    <t>FASE 1: inrichtingswerken afdeling</t>
  </si>
  <si>
    <t>1.21</t>
  </si>
  <si>
    <t>41d</t>
  </si>
  <si>
    <t>uitvoering fase 1 (0P8)</t>
  </si>
  <si>
    <t>1.21.1</t>
  </si>
  <si>
    <t>31d</t>
  </si>
  <si>
    <t>levering en plaatsing PET/CT 2</t>
  </si>
  <si>
    <t>1.21.2</t>
  </si>
  <si>
    <t>1.21.3</t>
  </si>
  <si>
    <t>8d</t>
  </si>
  <si>
    <t>1.21.4</t>
  </si>
  <si>
    <t>FASE 2 : inrichting technische ruimte -1P8</t>
  </si>
  <si>
    <t>1.22</t>
  </si>
  <si>
    <t>99d</t>
  </si>
  <si>
    <t>installatie PETC/CT 1 op 0P8</t>
  </si>
  <si>
    <t>1.22.1</t>
  </si>
  <si>
    <t>14d</t>
  </si>
  <si>
    <t>indienststelling PET/CT 1</t>
  </si>
  <si>
    <t>1.22.2</t>
  </si>
  <si>
    <t>uitbraakwerken</t>
  </si>
  <si>
    <t>1.22.3</t>
  </si>
  <si>
    <t>11d</t>
  </si>
  <si>
    <t>uitvoering fase 2 )</t>
  </si>
  <si>
    <t>1.22.4</t>
  </si>
  <si>
    <t>76d</t>
  </si>
  <si>
    <t>aanpassingswerken, regeling en testen 0P8</t>
  </si>
  <si>
    <t>1.22.5</t>
  </si>
  <si>
    <t>9d</t>
  </si>
  <si>
    <t>1.22.6</t>
  </si>
  <si>
    <t>oplevering</t>
  </si>
  <si>
    <t>1.22.7</t>
  </si>
  <si>
    <t>Type</t>
  </si>
  <si>
    <t>Availability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</si>
  <si>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</si>
  <si>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</si>
  <si>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</si>
  <si>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</si>
  <si>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</si>
  <si>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</si>
  <si>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</si>
  <si>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</si>
  <si>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2984h</t>
  </si>
  <si>
    <t>144h</t>
  </si>
  <si>
    <t>standard - no risk</t>
  </si>
  <si>
    <t>168h</t>
  </si>
  <si>
    <t>408h</t>
  </si>
  <si>
    <t>160h</t>
  </si>
  <si>
    <t>448h</t>
  </si>
  <si>
    <t>192h</t>
  </si>
  <si>
    <t>40h</t>
  </si>
  <si>
    <t>8h</t>
  </si>
  <si>
    <t>120h</t>
  </si>
  <si>
    <t>80h</t>
  </si>
  <si>
    <t>480h</t>
  </si>
  <si>
    <t>440h</t>
  </si>
  <si>
    <t>328h</t>
  </si>
  <si>
    <t>248h</t>
  </si>
  <si>
    <t>64h</t>
  </si>
  <si>
    <t>792h</t>
  </si>
  <si>
    <t>112h</t>
  </si>
  <si>
    <t>88h</t>
  </si>
  <si>
    <t>608h</t>
  </si>
  <si>
    <t>72h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</si>
  <si>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</si>
  <si>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</si>
  <si>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</si>
  <si>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</si>
  <si>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</si>
  <si>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</si>
  <si>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</si>
  <si>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</si>
  <si>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</si>
  <si>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</si>
  <si>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</si>
  <si>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</si>
  <si>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</si>
  <si>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</si>
  <si>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</si>
  <si>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TP1</t>
  </si>
  <si>
    <t>19d</t>
  </si>
  <si>
    <t>0</t>
  </si>
  <si>
    <t>Finished</t>
  </si>
  <si>
    <t>Started</t>
  </si>
  <si>
    <t>Not Started</t>
  </si>
  <si>
    <t>TP2</t>
  </si>
  <si>
    <t>40d</t>
  </si>
  <si>
    <t>22d</t>
  </si>
  <si>
    <t>TP3</t>
  </si>
  <si>
    <t>73d</t>
  </si>
  <si>
    <t>34d</t>
  </si>
  <si>
    <t>TP4</t>
  </si>
  <si>
    <t>83d</t>
  </si>
  <si>
    <t>44d</t>
  </si>
  <si>
    <t>TP5</t>
  </si>
  <si>
    <t>107d</t>
  </si>
  <si>
    <t>35d</t>
  </si>
  <si>
    <t>12d</t>
  </si>
  <si>
    <t>TP6</t>
  </si>
  <si>
    <t>127d</t>
  </si>
  <si>
    <t>32d</t>
  </si>
  <si>
    <t>TP7</t>
  </si>
  <si>
    <t>138d</t>
  </si>
  <si>
    <t>43d</t>
  </si>
  <si>
    <t>TP8</t>
  </si>
  <si>
    <t>176d</t>
  </si>
  <si>
    <t>39d</t>
  </si>
  <si>
    <t>70d</t>
  </si>
  <si>
    <t>TP9</t>
  </si>
  <si>
    <t>197d</t>
  </si>
  <si>
    <t>TP10</t>
  </si>
  <si>
    <t>219d</t>
  </si>
  <si>
    <t>23d</t>
  </si>
  <si>
    <t>TP11</t>
  </si>
  <si>
    <t>239d</t>
  </si>
  <si>
    <t>64d</t>
  </si>
  <si>
    <t>TP12</t>
  </si>
  <si>
    <t>258d</t>
  </si>
  <si>
    <t>TP13</t>
  </si>
  <si>
    <t>281d</t>
  </si>
  <si>
    <t>106d</t>
  </si>
  <si>
    <t>TP14</t>
  </si>
  <si>
    <t>301d</t>
  </si>
  <si>
    <t>126d</t>
  </si>
  <si>
    <t>63d</t>
  </si>
  <si>
    <t>TP15</t>
  </si>
  <si>
    <t>323d</t>
  </si>
  <si>
    <t>148d</t>
  </si>
  <si>
    <t>85d</t>
  </si>
  <si>
    <t>TP16</t>
  </si>
  <si>
    <t>344d</t>
  </si>
  <si>
    <t>169d</t>
  </si>
  <si>
    <t>103d</t>
  </si>
  <si>
    <t>TP17</t>
  </si>
  <si>
    <t>367d</t>
  </si>
  <si>
    <t>192d</t>
  </si>
  <si>
    <t>129d</t>
  </si>
  <si>
    <t>TP18</t>
  </si>
  <si>
    <t>388d</t>
  </si>
  <si>
    <t>213d</t>
  </si>
  <si>
    <t>150d</t>
  </si>
  <si>
    <t>TP19</t>
  </si>
  <si>
    <t>410d</t>
  </si>
  <si>
    <t>235d</t>
  </si>
  <si>
    <t>172d</t>
  </si>
  <si>
    <t>TP20</t>
  </si>
  <si>
    <t>433d</t>
  </si>
  <si>
    <t>195d</t>
  </si>
  <si>
    <t>2d</t>
  </si>
  <si>
    <t>TP21</t>
  </si>
  <si>
    <t>453d</t>
  </si>
  <si>
    <t>278d</t>
  </si>
  <si>
    <t>215d</t>
  </si>
  <si>
    <t>TP22</t>
  </si>
  <si>
    <t>476d</t>
  </si>
  <si>
    <t>TP23</t>
  </si>
  <si>
    <t>520d</t>
  </si>
  <si>
    <t>67d</t>
  </si>
  <si>
    <t>45d</t>
  </si>
  <si>
    <t>TP24</t>
  </si>
  <si>
    <t>66d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</si>
  <si>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</si>
  <si>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</si>
  <si>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</si>
  <si>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</si>
  <si>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</si>
  <si>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</si>
  <si>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</si>
  <si>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</si>
  <si>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</si>
  <si>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</si>
  <si>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</si>
  <si>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</si>
  <si>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</si>
  <si>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</si>
  <si>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</si>
  <si>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</si>
  <si>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</si>
  <si>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</si>
  <si>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</si>
  <si>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</si>
  <si>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</si>
  <si>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</si>
  <si>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</si>
  <si>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</si>
  <si>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</si>
  <si>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</si>
  <si>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</si>
  <si>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</si>
  <si>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</si>
  <si>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</si>
  <si>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</si>
  <si>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</si>
  <si>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</si>
  <si>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</si>
  <si>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</si>
  <si>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</si>
  <si>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</si>
  <si>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</si>
  <si>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</si>
  <si>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</si>
  <si>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</si>
  <si>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</si>
  <si>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</si>
  <si>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</si>
  <si>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</si>
  <si>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</si>
  <si>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</si>
  <si>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</si>
  <si>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</si>
  <si>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</si>
  <si>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</si>
  <si>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</si>
  <si>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</si>
  <si>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</si>
  <si>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</si>
  <si>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</si>
  <si>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</si>
  <si>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</si>
  <si>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</si>
  <si>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</si>
  <si>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</si>
  <si>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</si>
  <si>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</si>
  <si>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</si>
  <si>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</si>
  <si>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</si>
  <si>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9d 4h</t>
  </si>
  <si>
    <t>18d 4h</t>
  </si>
  <si>
    <t>29d 7h</t>
  </si>
  <si>
    <t>18d 7h</t>
  </si>
  <si>
    <t>-2d 1h</t>
  </si>
  <si>
    <t>-23d</t>
  </si>
  <si>
    <t>-45d</t>
  </si>
  <si>
    <t>-53d</t>
  </si>
  <si>
    <t>-9d 4h</t>
  </si>
  <si>
    <t>-32d 4h</t>
  </si>
  <si>
    <t>-52d 4h</t>
  </si>
  <si>
    <t>-74d 4h</t>
  </si>
  <si>
    <t>-95d 4h</t>
  </si>
  <si>
    <t>-118d 4h</t>
  </si>
  <si>
    <t>-139d 4h</t>
  </si>
  <si>
    <t>-161d 4h</t>
  </si>
  <si>
    <t>-184d 3h</t>
  </si>
  <si>
    <t>-179d</t>
  </si>
  <si>
    <t>-151d 2h</t>
  </si>
  <si>
    <t>-173d</t>
  </si>
  <si>
    <t>-146d</t>
  </si>
  <si>
    <t>Baseline duration (in calendar days)</t>
  </si>
  <si>
    <t>SPI(t)</t>
  </si>
  <si>
    <t>SPI</t>
  </si>
  <si>
    <t>Corrective actions</t>
  </si>
  <si>
    <t>Category</t>
  </si>
  <si>
    <t>C1</t>
  </si>
  <si>
    <t>Status update call employees</t>
  </si>
  <si>
    <t>-</t>
  </si>
  <si>
    <t>C4</t>
  </si>
  <si>
    <t>Use compensation claim in contracts</t>
  </si>
  <si>
    <t>1FS</t>
  </si>
  <si>
    <t>2FS</t>
  </si>
  <si>
    <t>4FS</t>
  </si>
  <si>
    <t>5FS</t>
  </si>
  <si>
    <t>3FS;6FS</t>
  </si>
  <si>
    <t>7FS</t>
  </si>
  <si>
    <t>8FS</t>
  </si>
  <si>
    <t>9FS</t>
  </si>
  <si>
    <t>10FS</t>
  </si>
  <si>
    <t>11FS</t>
  </si>
  <si>
    <t>12FS</t>
  </si>
  <si>
    <t>13FS</t>
  </si>
  <si>
    <t>14FS</t>
  </si>
  <si>
    <t>15FS</t>
  </si>
  <si>
    <t>16FS</t>
  </si>
  <si>
    <t>17FS</t>
  </si>
  <si>
    <t>18FS</t>
  </si>
  <si>
    <t>19FS;20FS</t>
  </si>
  <si>
    <t>21FS</t>
  </si>
  <si>
    <t>22FS</t>
  </si>
  <si>
    <t>23FS;24FS</t>
  </si>
  <si>
    <t>25FS</t>
  </si>
  <si>
    <t>26FS</t>
  </si>
  <si>
    <t>27FS</t>
  </si>
  <si>
    <t>28FS;29FS</t>
  </si>
  <si>
    <t>30FS;31FS</t>
  </si>
  <si>
    <t>32FS</t>
  </si>
  <si>
    <t>FS2</t>
  </si>
  <si>
    <t>FS3;FS4</t>
  </si>
  <si>
    <t>FS7</t>
  </si>
  <si>
    <t>FS5</t>
  </si>
  <si>
    <t>FS6</t>
  </si>
  <si>
    <t>FS8</t>
  </si>
  <si>
    <t>FS9</t>
  </si>
  <si>
    <t>FS10</t>
  </si>
  <si>
    <t>FS11</t>
  </si>
  <si>
    <t>FS12</t>
  </si>
  <si>
    <t>FS13</t>
  </si>
  <si>
    <t>FS14</t>
  </si>
  <si>
    <t>FS15</t>
  </si>
  <si>
    <t>FS16</t>
  </si>
  <si>
    <t>FS17</t>
  </si>
  <si>
    <t>FS18</t>
  </si>
  <si>
    <t>FS19;FS20</t>
  </si>
  <si>
    <t>FS21</t>
  </si>
  <si>
    <t>FS22</t>
  </si>
  <si>
    <t>FS23;FS24</t>
  </si>
  <si>
    <t>FS25</t>
  </si>
  <si>
    <t>FS26</t>
  </si>
  <si>
    <t>FS27;FS29</t>
  </si>
  <si>
    <t>FS28</t>
  </si>
  <si>
    <t>FS30;FS31</t>
  </si>
  <si>
    <t>FS32</t>
  </si>
  <si>
    <t>FS33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</si>
</sst>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9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16AC5"/>
        <bgColor rgb="FF000000"/>
      </patternFill>
    </fill>
    <fill>
      <patternFill patternType="solid">
        <fgColor rgb="FFD4D0C8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22" fontId="2" fillId="4" borderId="1" xfId="0" applyNumberFormat="1" applyFont="1" applyFill="1" applyBorder="1" applyAlignment="1">
      <alignment wrapText="1"/>
    </xf>
    <xf numFmtId="22" fontId="2" fillId="7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10" borderId="4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49" fontId="6" fillId="11" borderId="1" xfId="0" applyNumberFormat="1" applyFont="1" applyFill="1" applyBorder="1"/>
    <xf numFmtId="49" fontId="6" fillId="11" borderId="6" xfId="0" applyNumberFormat="1" applyFont="1" applyFill="1" applyBorder="1"/>
    <xf numFmtId="49" fontId="6" fillId="11" borderId="7" xfId="0" applyNumberFormat="1" applyFont="1" applyFill="1" applyBorder="1"/>
    <xf numFmtId="49" fontId="6" fillId="11" borderId="8" xfId="0" applyNumberFormat="1" applyFont="1" applyFill="1" applyBorder="1"/>
    <xf numFmtId="0" fontId="1" fillId="2" borderId="1" xfId="0" applyFont="1" applyFill="1" applyBorder="1"/>
    <xf numFmtId="0" fontId="2" fillId="7" borderId="1" xfId="0" applyFont="1" applyFill="1" applyBorder="1"/>
    <xf numFmtId="22" fontId="2" fillId="7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1" fillId="10" borderId="2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2" borderId="1" xfId="0" applyFont="1" applyFill="1" applyBorder="1"/>
  </cellXfs>
  <cellStyles count="3">
    <cellStyle name="Hipervínculo" xfId="1" builtinId="8" hidden="1"/>
    <cellStyle name="Hipervínculo visitado" xfId="2" builtinId="9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Schedule'!$B$4:$B$40</c:f>
              <c:strCache>
                <c:ptCount val="37"/>
                <c:pt idx="0">
                  <c:v>Fase 1 Voorontwerp</c:v>
                </c:pt>
                <c:pt idx="1">
                  <c:v>Fase 2 opmaak ontwerp &amp;amp; studie</c:v>
                </c:pt>
                <c:pt idx="2">
                  <c:v>schriftelijke goedkeuring opstarten aanbesteding</c:v>
                </c:pt>
                <c:pt idx="3">
                  <c:v>Fase 3 opmaak bouwvergunningsdossier</c:v>
                </c:pt>
                <c:pt idx="4">
                  <c:v>indienen bouwvergunning en wachten op goedkeuring</c:v>
                </c:pt>
                <c:pt idx="5">
                  <c:v>opstellen lastencohier</c:v>
                </c:pt>
                <c:pt idx="6">
                  <c:v>opmaak dossier</c:v>
                </c:pt>
                <c:pt idx="7">
                  <c:v>goedkeuring dossier</c:v>
                </c:pt>
                <c:pt idx="8">
                  <c:v>publicatie</c:v>
                </c:pt>
                <c:pt idx="9">
                  <c:v>indieningstermijn</c:v>
                </c:pt>
                <c:pt idx="10">
                  <c:v>opening</c:v>
                </c:pt>
                <c:pt idx="11">
                  <c:v>Fase 4 onderzoek offertes</c:v>
                </c:pt>
                <c:pt idx="12">
                  <c:v>opmaak verslag</c:v>
                </c:pt>
                <c:pt idx="13">
                  <c:v>goedkeuring RC</c:v>
                </c:pt>
                <c:pt idx="14">
                  <c:v>indienen RvB</c:v>
                </c:pt>
                <c:pt idx="15">
                  <c:v>goedkeuring RvB</c:v>
                </c:pt>
                <c:pt idx="16">
                  <c:v>standstill</c:v>
                </c:pt>
                <c:pt idx="17">
                  <c:v>bestelling</c:v>
                </c:pt>
                <c:pt idx="18">
                  <c:v>pre-FASE: afbraakwerken/leegmaken lokalen</c:v>
                </c:pt>
                <c:pt idx="19">
                  <c:v>voorafgaand leegmaken locatie + afbraakwerken</c:v>
                </c:pt>
                <c:pt idx="20">
                  <c:v>Fase 0 : SPECT/CT 3</c:v>
                </c:pt>
                <c:pt idx="21">
                  <c:v>inrichtingswerken</c:v>
                </c:pt>
                <c:pt idx="22">
                  <c:v>opkuis en reserve</c:v>
                </c:pt>
                <c:pt idx="23">
                  <c:v>ingebruikname</c:v>
                </c:pt>
                <c:pt idx="24">
                  <c:v>FASE 1: inrichtingswerken afdeling</c:v>
                </c:pt>
                <c:pt idx="25">
                  <c:v>uitvoering fase 1 (0P8)</c:v>
                </c:pt>
                <c:pt idx="26">
                  <c:v>levering en plaatsing PET/CT 2</c:v>
                </c:pt>
                <c:pt idx="27">
                  <c:v>opkuis en reserve</c:v>
                </c:pt>
                <c:pt idx="28">
                  <c:v>ingebruikname</c:v>
                </c:pt>
                <c:pt idx="29">
                  <c:v>FASE 2 : inrichting technische ruimte -1P8</c:v>
                </c:pt>
                <c:pt idx="30">
                  <c:v>installatie PETC/CT 1 op 0P8</c:v>
                </c:pt>
                <c:pt idx="31">
                  <c:v>indienststelling PET/CT 1</c:v>
                </c:pt>
                <c:pt idx="32">
                  <c:v>uitbraakwerken</c:v>
                </c:pt>
                <c:pt idx="33">
                  <c:v>uitvoering fase 2 )</c:v>
                </c:pt>
                <c:pt idx="34">
                  <c:v>aanpassingswerken, regeling en testen 0P8</c:v>
                </c:pt>
                <c:pt idx="35">
                  <c:v>opkuis en reserve</c:v>
                </c:pt>
                <c:pt idx="36">
                  <c:v>oplevering</c:v>
                </c:pt>
              </c:strCache>
            </c:strRef>
          </c:cat>
          <c:val>
            <c:numRef>
              <c:f>'Baseline Schedule'!$F$4:$F$40</c:f>
              <c:numCache>
                <c:formatCode>m/d/yyyy\ h:mm</c:formatCode>
                <c:ptCount val="37"/>
                <c:pt idx="0">
                  <c:v>42375.333333333299</c:v>
                </c:pt>
                <c:pt idx="1">
                  <c:v>42401.333333333299</c:v>
                </c:pt>
                <c:pt idx="2">
                  <c:v>42429.333333333299</c:v>
                </c:pt>
                <c:pt idx="3">
                  <c:v>42444.333333333299</c:v>
                </c:pt>
                <c:pt idx="4">
                  <c:v>42471.333333333299</c:v>
                </c:pt>
                <c:pt idx="5">
                  <c:v>42466.333333333299</c:v>
                </c:pt>
                <c:pt idx="6">
                  <c:v>42500.333333333299</c:v>
                </c:pt>
                <c:pt idx="7">
                  <c:v>42507.333333333299</c:v>
                </c:pt>
                <c:pt idx="8">
                  <c:v>42507.333333333299</c:v>
                </c:pt>
                <c:pt idx="9">
                  <c:v>42508.333333333299</c:v>
                </c:pt>
                <c:pt idx="10">
                  <c:v>42528.333333333299</c:v>
                </c:pt>
                <c:pt idx="11">
                  <c:v>42529.333333333299</c:v>
                </c:pt>
                <c:pt idx="12">
                  <c:v>42543.333333333299</c:v>
                </c:pt>
                <c:pt idx="13">
                  <c:v>42550.333333333299</c:v>
                </c:pt>
                <c:pt idx="14">
                  <c:v>42566.333333333299</c:v>
                </c:pt>
                <c:pt idx="15">
                  <c:v>42577.333333333299</c:v>
                </c:pt>
                <c:pt idx="16">
                  <c:v>42577.333333333299</c:v>
                </c:pt>
                <c:pt idx="17">
                  <c:v>42591.333333333299</c:v>
                </c:pt>
                <c:pt idx="18">
                  <c:v>42618.333333333299</c:v>
                </c:pt>
                <c:pt idx="19">
                  <c:v>42618.333333333299</c:v>
                </c:pt>
                <c:pt idx="20">
                  <c:v>42618.333333333299</c:v>
                </c:pt>
                <c:pt idx="21">
                  <c:v>42618.333333333299</c:v>
                </c:pt>
                <c:pt idx="22">
                  <c:v>42695.333333333299</c:v>
                </c:pt>
                <c:pt idx="23">
                  <c:v>42699.333333333299</c:v>
                </c:pt>
                <c:pt idx="24">
                  <c:v>42702.333333333299</c:v>
                </c:pt>
                <c:pt idx="25">
                  <c:v>42702.333333333299</c:v>
                </c:pt>
                <c:pt idx="26">
                  <c:v>42733.333333333299</c:v>
                </c:pt>
                <c:pt idx="27">
                  <c:v>42747.333333333299</c:v>
                </c:pt>
                <c:pt idx="28">
                  <c:v>42758.333333333299</c:v>
                </c:pt>
                <c:pt idx="29">
                  <c:v>42759.333333333299</c:v>
                </c:pt>
                <c:pt idx="30">
                  <c:v>42759.333333333299</c:v>
                </c:pt>
                <c:pt idx="31">
                  <c:v>42776.333333333299</c:v>
                </c:pt>
                <c:pt idx="32">
                  <c:v>42761.333333333299</c:v>
                </c:pt>
                <c:pt idx="33">
                  <c:v>42776.333333333299</c:v>
                </c:pt>
                <c:pt idx="34">
                  <c:v>42871.333333333299</c:v>
                </c:pt>
                <c:pt idx="35">
                  <c:v>42881.333333333299</c:v>
                </c:pt>
                <c:pt idx="36">
                  <c:v>42895.333333333299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C-4D6F-9083-B2FFD8441336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1-E02C-4D6F-9083-B2FFD8441336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E02C-4D6F-9083-B2FFD8441336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E02C-4D6F-9083-B2FFD8441336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E02C-4D6F-9083-B2FFD8441336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5-E02C-4D6F-9083-B2FFD8441336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E02C-4D6F-9083-B2FFD8441336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7-E02C-4D6F-9083-B2FFD8441336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E02C-4D6F-9083-B2FFD8441336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9-E02C-4D6F-9083-B2FFD8441336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E02C-4D6F-9083-B2FFD8441336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B-E02C-4D6F-9083-B2FFD8441336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E02C-4D6F-9083-B2FFD8441336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D-E02C-4D6F-9083-B2FFD8441336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E02C-4D6F-9083-B2FFD8441336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F-E02C-4D6F-9083-B2FFD8441336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E02C-4D6F-9083-B2FFD8441336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1-E02C-4D6F-9083-B2FFD8441336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E02C-4D6F-9083-B2FFD8441336}"/>
              </c:ext>
            </c:extLst>
          </c:dPt>
          <c:dPt>
            <c:idx val="18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3-E02C-4D6F-9083-B2FFD8441336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E02C-4D6F-9083-B2FFD8441336}"/>
              </c:ext>
            </c:extLst>
          </c:dPt>
          <c:dPt>
            <c:idx val="2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5-E02C-4D6F-9083-B2FFD8441336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E02C-4D6F-9083-B2FFD8441336}"/>
              </c:ext>
            </c:extLst>
          </c:dPt>
          <c:dPt>
            <c:idx val="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7-E02C-4D6F-9083-B2FFD8441336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E02C-4D6F-9083-B2FFD8441336}"/>
              </c:ext>
            </c:extLst>
          </c:dPt>
          <c:dPt>
            <c:idx val="2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9-E02C-4D6F-9083-B2FFD8441336}"/>
              </c:ext>
            </c:extLst>
          </c:dPt>
          <c:dPt>
            <c:idx val="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E02C-4D6F-9083-B2FFD8441336}"/>
              </c:ext>
            </c:extLst>
          </c:dPt>
          <c:dPt>
            <c:idx val="2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B-E02C-4D6F-9083-B2FFD8441336}"/>
              </c:ext>
            </c:extLst>
          </c:dPt>
          <c:dPt>
            <c:idx val="2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E02C-4D6F-9083-B2FFD8441336}"/>
              </c:ext>
            </c:extLst>
          </c:dPt>
          <c:dPt>
            <c:idx val="2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D-E02C-4D6F-9083-B2FFD8441336}"/>
              </c:ext>
            </c:extLst>
          </c:dPt>
          <c:dPt>
            <c:idx val="29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E-E02C-4D6F-9083-B2FFD8441336}"/>
              </c:ext>
            </c:extLst>
          </c:dPt>
          <c:dPt>
            <c:idx val="3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F-E02C-4D6F-9083-B2FFD8441336}"/>
              </c:ext>
            </c:extLst>
          </c:dPt>
          <c:dPt>
            <c:idx val="3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0-E02C-4D6F-9083-B2FFD8441336}"/>
              </c:ext>
            </c:extLst>
          </c:dPt>
          <c:dPt>
            <c:idx val="3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1-E02C-4D6F-9083-B2FFD8441336}"/>
              </c:ext>
            </c:extLst>
          </c:dPt>
          <c:dPt>
            <c:idx val="3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2-E02C-4D6F-9083-B2FFD8441336}"/>
              </c:ext>
            </c:extLst>
          </c:dPt>
          <c:dPt>
            <c:idx val="3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3-E02C-4D6F-9083-B2FFD8441336}"/>
              </c:ext>
            </c:extLst>
          </c:dPt>
          <c:dPt>
            <c:idx val="3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4-E02C-4D6F-9083-B2FFD8441336}"/>
              </c:ext>
            </c:extLst>
          </c:dPt>
          <c:dPt>
            <c:idx val="3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5-E02C-4D6F-9083-B2FFD8441336}"/>
              </c:ext>
            </c:extLst>
          </c:dPt>
          <c:cat>
            <c:strRef>
              <c:f>'Baseline Schedule'!$B$4:$B$40</c:f>
              <c:strCache>
                <c:ptCount val="37"/>
                <c:pt idx="0">
                  <c:v>Fase 1 Voorontwerp</c:v>
                </c:pt>
                <c:pt idx="1">
                  <c:v>Fase 2 opmaak ontwerp &amp;amp; studie</c:v>
                </c:pt>
                <c:pt idx="2">
                  <c:v>schriftelijke goedkeuring opstarten aanbesteding</c:v>
                </c:pt>
                <c:pt idx="3">
                  <c:v>Fase 3 opmaak bouwvergunningsdossier</c:v>
                </c:pt>
                <c:pt idx="4">
                  <c:v>indienen bouwvergunning en wachten op goedkeuring</c:v>
                </c:pt>
                <c:pt idx="5">
                  <c:v>opstellen lastencohier</c:v>
                </c:pt>
                <c:pt idx="6">
                  <c:v>opmaak dossier</c:v>
                </c:pt>
                <c:pt idx="7">
                  <c:v>goedkeuring dossier</c:v>
                </c:pt>
                <c:pt idx="8">
                  <c:v>publicatie</c:v>
                </c:pt>
                <c:pt idx="9">
                  <c:v>indieningstermijn</c:v>
                </c:pt>
                <c:pt idx="10">
                  <c:v>opening</c:v>
                </c:pt>
                <c:pt idx="11">
                  <c:v>Fase 4 onderzoek offertes</c:v>
                </c:pt>
                <c:pt idx="12">
                  <c:v>opmaak verslag</c:v>
                </c:pt>
                <c:pt idx="13">
                  <c:v>goedkeuring RC</c:v>
                </c:pt>
                <c:pt idx="14">
                  <c:v>indienen RvB</c:v>
                </c:pt>
                <c:pt idx="15">
                  <c:v>goedkeuring RvB</c:v>
                </c:pt>
                <c:pt idx="16">
                  <c:v>standstill</c:v>
                </c:pt>
                <c:pt idx="17">
                  <c:v>bestelling</c:v>
                </c:pt>
                <c:pt idx="18">
                  <c:v>pre-FASE: afbraakwerken/leegmaken lokalen</c:v>
                </c:pt>
                <c:pt idx="19">
                  <c:v>voorafgaand leegmaken locatie + afbraakwerken</c:v>
                </c:pt>
                <c:pt idx="20">
                  <c:v>Fase 0 : SPECT/CT 3</c:v>
                </c:pt>
                <c:pt idx="21">
                  <c:v>inrichtingswerken</c:v>
                </c:pt>
                <c:pt idx="22">
                  <c:v>opkuis en reserve</c:v>
                </c:pt>
                <c:pt idx="23">
                  <c:v>ingebruikname</c:v>
                </c:pt>
                <c:pt idx="24">
                  <c:v>FASE 1: inrichtingswerken afdeling</c:v>
                </c:pt>
                <c:pt idx="25">
                  <c:v>uitvoering fase 1 (0P8)</c:v>
                </c:pt>
                <c:pt idx="26">
                  <c:v>levering en plaatsing PET/CT 2</c:v>
                </c:pt>
                <c:pt idx="27">
                  <c:v>opkuis en reserve</c:v>
                </c:pt>
                <c:pt idx="28">
                  <c:v>ingebruikname</c:v>
                </c:pt>
                <c:pt idx="29">
                  <c:v>FASE 2 : inrichting technische ruimte -1P8</c:v>
                </c:pt>
                <c:pt idx="30">
                  <c:v>installatie PETC/CT 1 op 0P8</c:v>
                </c:pt>
                <c:pt idx="31">
                  <c:v>indienststelling PET/CT 1</c:v>
                </c:pt>
                <c:pt idx="32">
                  <c:v>uitbraakwerken</c:v>
                </c:pt>
                <c:pt idx="33">
                  <c:v>uitvoering fase 2 )</c:v>
                </c:pt>
                <c:pt idx="34">
                  <c:v>aanpassingswerken, regeling en testen 0P8</c:v>
                </c:pt>
                <c:pt idx="35">
                  <c:v>opkuis en reserve</c:v>
                </c:pt>
                <c:pt idx="36">
                  <c:v>oplevering</c:v>
                </c:pt>
              </c:strCache>
            </c:strRef>
          </c:cat>
          <c:val>
            <c:numRef>
              <c:f>'Baseline Schedule'!$Q$4:$Q$40</c:f>
              <c:numCache>
                <c:formatCode>General</c:formatCode>
                <c:ptCount val="37"/>
                <c:pt idx="0">
                  <c:v>23.375</c:v>
                </c:pt>
                <c:pt idx="1">
                  <c:v>28.375</c:v>
                </c:pt>
                <c:pt idx="2">
                  <c:v>70.375</c:v>
                </c:pt>
                <c:pt idx="3">
                  <c:v>27.375</c:v>
                </c:pt>
                <c:pt idx="4">
                  <c:v>77.375</c:v>
                </c:pt>
                <c:pt idx="5">
                  <c:v>33.375</c:v>
                </c:pt>
                <c:pt idx="6">
                  <c:v>6.375</c:v>
                </c:pt>
                <c:pt idx="7">
                  <c:v>0.375</c:v>
                </c:pt>
                <c:pt idx="8">
                  <c:v>0.375</c:v>
                </c:pt>
                <c:pt idx="9">
                  <c:v>20.375</c:v>
                </c:pt>
                <c:pt idx="10">
                  <c:v>0.375</c:v>
                </c:pt>
                <c:pt idx="11">
                  <c:v>13.375</c:v>
                </c:pt>
                <c:pt idx="12">
                  <c:v>6.375</c:v>
                </c:pt>
                <c:pt idx="13">
                  <c:v>6.375</c:v>
                </c:pt>
                <c:pt idx="14">
                  <c:v>0.375</c:v>
                </c:pt>
                <c:pt idx="15">
                  <c:v>0.375</c:v>
                </c:pt>
                <c:pt idx="16">
                  <c:v>13.375</c:v>
                </c:pt>
                <c:pt idx="17">
                  <c:v>6.375</c:v>
                </c:pt>
                <c:pt idx="18">
                  <c:v>18.375</c:v>
                </c:pt>
                <c:pt idx="19">
                  <c:v>18.375</c:v>
                </c:pt>
                <c:pt idx="20">
                  <c:v>81.375</c:v>
                </c:pt>
                <c:pt idx="21">
                  <c:v>74.375</c:v>
                </c:pt>
                <c:pt idx="22">
                  <c:v>4.375</c:v>
                </c:pt>
                <c:pt idx="23">
                  <c:v>0.375</c:v>
                </c:pt>
                <c:pt idx="24">
                  <c:v>56.375</c:v>
                </c:pt>
                <c:pt idx="25">
                  <c:v>42.375</c:v>
                </c:pt>
                <c:pt idx="26">
                  <c:v>13.375</c:v>
                </c:pt>
                <c:pt idx="27">
                  <c:v>11.375</c:v>
                </c:pt>
                <c:pt idx="28">
                  <c:v>0.375</c:v>
                </c:pt>
                <c:pt idx="29">
                  <c:v>136.375</c:v>
                </c:pt>
                <c:pt idx="30">
                  <c:v>17.375</c:v>
                </c:pt>
                <c:pt idx="31">
                  <c:v>0.375</c:v>
                </c:pt>
                <c:pt idx="32">
                  <c:v>14.375</c:v>
                </c:pt>
                <c:pt idx="33">
                  <c:v>105.375</c:v>
                </c:pt>
                <c:pt idx="34">
                  <c:v>10.375</c:v>
                </c:pt>
                <c:pt idx="35">
                  <c:v>14.375</c:v>
                </c:pt>
                <c:pt idx="36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02C-4D6F-9083-B2FFD844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1531656"/>
        <c:axId val="619754008"/>
      </c:barChart>
      <c:catAx>
        <c:axId val="6515316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9754008"/>
        <c:crosses val="autoZero"/>
        <c:auto val="1"/>
        <c:lblAlgn val="ctr"/>
        <c:lblOffset val="100"/>
        <c:tickLblSkip val="1"/>
        <c:noMultiLvlLbl val="0"/>
      </c:catAx>
      <c:valAx>
        <c:axId val="619754008"/>
        <c:scaling>
          <c:orientation val="minMax"/>
          <c:max val="42895.708333333343"/>
          <c:min val="42375.333333333343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651531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Overview'!$A$3:$A$26</c:f>
              <c:strCache>
                <c:ptCount val="24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  <c:pt idx="11">
                  <c:v>TP12</c:v>
                </c:pt>
                <c:pt idx="12">
                  <c:v>TP13</c:v>
                </c:pt>
                <c:pt idx="13">
                  <c:v>TP14</c:v>
                </c:pt>
                <c:pt idx="14">
                  <c:v>TP15</c:v>
                </c:pt>
                <c:pt idx="15">
                  <c:v>TP16</c:v>
                </c:pt>
                <c:pt idx="16">
                  <c:v>TP17</c:v>
                </c:pt>
                <c:pt idx="17">
                  <c:v>TP18</c:v>
                </c:pt>
                <c:pt idx="18">
                  <c:v>TP19</c:v>
                </c:pt>
                <c:pt idx="19">
                  <c:v>TP20</c:v>
                </c:pt>
                <c:pt idx="20">
                  <c:v>TP21</c:v>
                </c:pt>
                <c:pt idx="21">
                  <c:v>TP22</c:v>
                </c:pt>
                <c:pt idx="22">
                  <c:v>TP23</c:v>
                </c:pt>
                <c:pt idx="23">
                  <c:v>TP24</c:v>
                </c:pt>
              </c:strCache>
            </c:strRef>
          </c:cat>
          <c:val>
            <c:numRef>
              <c:f>'Tracking Overview'!$F$3:$F$26</c:f>
              <c:numCache>
                <c:formatCode>#,##0.00\€</c:formatCode>
                <c:ptCount val="24"/>
                <c:pt idx="0">
                  <c:v>124492.5</c:v>
                </c:pt>
                <c:pt idx="1">
                  <c:v>226935</c:v>
                </c:pt>
                <c:pt idx="2">
                  <c:v>260220</c:v>
                </c:pt>
                <c:pt idx="3">
                  <c:v>276555</c:v>
                </c:pt>
                <c:pt idx="4">
                  <c:v>279055</c:v>
                </c:pt>
                <c:pt idx="5">
                  <c:v>386654.38500000001</c:v>
                </c:pt>
                <c:pt idx="6">
                  <c:v>386654.38500000001</c:v>
                </c:pt>
                <c:pt idx="7">
                  <c:v>497453.77</c:v>
                </c:pt>
                <c:pt idx="8">
                  <c:v>499053.77</c:v>
                </c:pt>
                <c:pt idx="9">
                  <c:v>499053.77</c:v>
                </c:pt>
                <c:pt idx="10">
                  <c:v>905012.64</c:v>
                </c:pt>
                <c:pt idx="11">
                  <c:v>1632595.0766666699</c:v>
                </c:pt>
                <c:pt idx="12">
                  <c:v>1632595.0766666699</c:v>
                </c:pt>
                <c:pt idx="13">
                  <c:v>1632595.0766666699</c:v>
                </c:pt>
                <c:pt idx="14">
                  <c:v>1632595.0766666699</c:v>
                </c:pt>
                <c:pt idx="15">
                  <c:v>1632595.0766666699</c:v>
                </c:pt>
                <c:pt idx="16">
                  <c:v>1632595.0766666699</c:v>
                </c:pt>
                <c:pt idx="17">
                  <c:v>1632595.0766666699</c:v>
                </c:pt>
                <c:pt idx="18">
                  <c:v>1632595.0766666699</c:v>
                </c:pt>
                <c:pt idx="19">
                  <c:v>1638935.0766666699</c:v>
                </c:pt>
                <c:pt idx="20">
                  <c:v>2157658.7433333299</c:v>
                </c:pt>
                <c:pt idx="21">
                  <c:v>3230856.0766666699</c:v>
                </c:pt>
                <c:pt idx="22">
                  <c:v>3236349.5766666699</c:v>
                </c:pt>
                <c:pt idx="23">
                  <c:v>4232553.41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9-4366-A39F-BB395E22FD47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Overview'!$A$3:$A$26</c:f>
              <c:strCache>
                <c:ptCount val="24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  <c:pt idx="11">
                  <c:v>TP12</c:v>
                </c:pt>
                <c:pt idx="12">
                  <c:v>TP13</c:v>
                </c:pt>
                <c:pt idx="13">
                  <c:v>TP14</c:v>
                </c:pt>
                <c:pt idx="14">
                  <c:v>TP15</c:v>
                </c:pt>
                <c:pt idx="15">
                  <c:v>TP16</c:v>
                </c:pt>
                <c:pt idx="16">
                  <c:v>TP17</c:v>
                </c:pt>
                <c:pt idx="17">
                  <c:v>TP18</c:v>
                </c:pt>
                <c:pt idx="18">
                  <c:v>TP19</c:v>
                </c:pt>
                <c:pt idx="19">
                  <c:v>TP20</c:v>
                </c:pt>
                <c:pt idx="20">
                  <c:v>TP21</c:v>
                </c:pt>
                <c:pt idx="21">
                  <c:v>TP22</c:v>
                </c:pt>
                <c:pt idx="22">
                  <c:v>TP23</c:v>
                </c:pt>
                <c:pt idx="23">
                  <c:v>TP24</c:v>
                </c:pt>
              </c:strCache>
            </c:strRef>
          </c:cat>
          <c:val>
            <c:numRef>
              <c:f>'Tracking Overview'!$E$3:$E$26</c:f>
              <c:numCache>
                <c:formatCode>#,##0.00\€</c:formatCode>
                <c:ptCount val="24"/>
                <c:pt idx="0">
                  <c:v>172050</c:v>
                </c:pt>
                <c:pt idx="1">
                  <c:v>322050</c:v>
                </c:pt>
                <c:pt idx="2">
                  <c:v>355800</c:v>
                </c:pt>
                <c:pt idx="3">
                  <c:v>371150</c:v>
                </c:pt>
                <c:pt idx="4">
                  <c:v>373650</c:v>
                </c:pt>
                <c:pt idx="5">
                  <c:v>470150</c:v>
                </c:pt>
                <c:pt idx="6">
                  <c:v>470150</c:v>
                </c:pt>
                <c:pt idx="7">
                  <c:v>571850</c:v>
                </c:pt>
                <c:pt idx="8">
                  <c:v>575450</c:v>
                </c:pt>
                <c:pt idx="9">
                  <c:v>575450</c:v>
                </c:pt>
                <c:pt idx="10">
                  <c:v>945450</c:v>
                </c:pt>
                <c:pt idx="11">
                  <c:v>1671866.66666667</c:v>
                </c:pt>
                <c:pt idx="12">
                  <c:v>1671866.66666667</c:v>
                </c:pt>
                <c:pt idx="13">
                  <c:v>1671866.66666667</c:v>
                </c:pt>
                <c:pt idx="14">
                  <c:v>1671866.66666667</c:v>
                </c:pt>
                <c:pt idx="15">
                  <c:v>1671866.66666667</c:v>
                </c:pt>
                <c:pt idx="16">
                  <c:v>1671866.66666667</c:v>
                </c:pt>
                <c:pt idx="17">
                  <c:v>1671866.66666667</c:v>
                </c:pt>
                <c:pt idx="18">
                  <c:v>1671866.66666667</c:v>
                </c:pt>
                <c:pt idx="19">
                  <c:v>1677866.66666667</c:v>
                </c:pt>
                <c:pt idx="20">
                  <c:v>2205283.3333333302</c:v>
                </c:pt>
                <c:pt idx="21">
                  <c:v>3296116.6666666698</c:v>
                </c:pt>
                <c:pt idx="22">
                  <c:v>3302116.6666666698</c:v>
                </c:pt>
                <c:pt idx="23">
                  <c:v>4318950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9-4366-A39F-BB395E22FD47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Overview'!$A$3:$A$26</c:f>
              <c:strCache>
                <c:ptCount val="24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  <c:pt idx="11">
                  <c:v>TP12</c:v>
                </c:pt>
                <c:pt idx="12">
                  <c:v>TP13</c:v>
                </c:pt>
                <c:pt idx="13">
                  <c:v>TP14</c:v>
                </c:pt>
                <c:pt idx="14">
                  <c:v>TP15</c:v>
                </c:pt>
                <c:pt idx="15">
                  <c:v>TP16</c:v>
                </c:pt>
                <c:pt idx="16">
                  <c:v>TP17</c:v>
                </c:pt>
                <c:pt idx="17">
                  <c:v>TP18</c:v>
                </c:pt>
                <c:pt idx="18">
                  <c:v>TP19</c:v>
                </c:pt>
                <c:pt idx="19">
                  <c:v>TP20</c:v>
                </c:pt>
                <c:pt idx="20">
                  <c:v>TP21</c:v>
                </c:pt>
                <c:pt idx="21">
                  <c:v>TP22</c:v>
                </c:pt>
                <c:pt idx="22">
                  <c:v>TP23</c:v>
                </c:pt>
                <c:pt idx="23">
                  <c:v>TP24</c:v>
                </c:pt>
              </c:strCache>
            </c:strRef>
          </c:cat>
          <c:val>
            <c:numRef>
              <c:f>'Tracking Overview'!$D$3:$D$26</c:f>
              <c:numCache>
                <c:formatCode>#,##0.00\€</c:formatCode>
                <c:ptCount val="24"/>
                <c:pt idx="0">
                  <c:v>36335.714285714297</c:v>
                </c:pt>
                <c:pt idx="1">
                  <c:v>322050</c:v>
                </c:pt>
                <c:pt idx="2">
                  <c:v>332450</c:v>
                </c:pt>
                <c:pt idx="3">
                  <c:v>337450</c:v>
                </c:pt>
                <c:pt idx="4">
                  <c:v>373650</c:v>
                </c:pt>
                <c:pt idx="5">
                  <c:v>378450</c:v>
                </c:pt>
                <c:pt idx="6">
                  <c:v>378450</c:v>
                </c:pt>
                <c:pt idx="7">
                  <c:v>635977.27272727306</c:v>
                </c:pt>
                <c:pt idx="8">
                  <c:v>1037668.18181818</c:v>
                </c:pt>
                <c:pt idx="9">
                  <c:v>1114868.18181818</c:v>
                </c:pt>
                <c:pt idx="10">
                  <c:v>1350288.7096774201</c:v>
                </c:pt>
                <c:pt idx="11">
                  <c:v>1991844.6236559099</c:v>
                </c:pt>
                <c:pt idx="12">
                  <c:v>2254465.15151515</c:v>
                </c:pt>
                <c:pt idx="13">
                  <c:v>2676958.7719298201</c:v>
                </c:pt>
                <c:pt idx="14">
                  <c:v>3250020.1754386001</c:v>
                </c:pt>
                <c:pt idx="15">
                  <c:v>3797033.3333333302</c:v>
                </c:pt>
                <c:pt idx="16">
                  <c:v>4317859.0909090899</c:v>
                </c:pt>
                <c:pt idx="17">
                  <c:v>4318950</c:v>
                </c:pt>
                <c:pt idx="18">
                  <c:v>4318950</c:v>
                </c:pt>
                <c:pt idx="19">
                  <c:v>4318950</c:v>
                </c:pt>
                <c:pt idx="20">
                  <c:v>4318950</c:v>
                </c:pt>
                <c:pt idx="21">
                  <c:v>4318950</c:v>
                </c:pt>
                <c:pt idx="22">
                  <c:v>4318950</c:v>
                </c:pt>
                <c:pt idx="23">
                  <c:v>4318950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79-4366-A39F-BB395E22F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811992"/>
        <c:axId val="619817416"/>
      </c:lineChart>
      <c:catAx>
        <c:axId val="619811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619817416"/>
        <c:crosses val="autoZero"/>
        <c:auto val="1"/>
        <c:lblAlgn val="ctr"/>
        <c:lblOffset val="100"/>
        <c:noMultiLvlLbl val="0"/>
      </c:catAx>
      <c:valAx>
        <c:axId val="619817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619811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Overview'!$A$3:$A$26</c:f>
              <c:strCache>
                <c:ptCount val="24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  <c:pt idx="11">
                  <c:v>TP12</c:v>
                </c:pt>
                <c:pt idx="12">
                  <c:v>TP13</c:v>
                </c:pt>
                <c:pt idx="13">
                  <c:v>TP14</c:v>
                </c:pt>
                <c:pt idx="14">
                  <c:v>TP15</c:v>
                </c:pt>
                <c:pt idx="15">
                  <c:v>TP16</c:v>
                </c:pt>
                <c:pt idx="16">
                  <c:v>TP17</c:v>
                </c:pt>
                <c:pt idx="17">
                  <c:v>TP18</c:v>
                </c:pt>
                <c:pt idx="18">
                  <c:v>TP19</c:v>
                </c:pt>
                <c:pt idx="19">
                  <c:v>TP20</c:v>
                </c:pt>
                <c:pt idx="20">
                  <c:v>TP21</c:v>
                </c:pt>
                <c:pt idx="21">
                  <c:v>TP22</c:v>
                </c:pt>
                <c:pt idx="22">
                  <c:v>TP23</c:v>
                </c:pt>
                <c:pt idx="23">
                  <c:v>TP24</c:v>
                </c:pt>
              </c:strCache>
            </c:strRef>
          </c:cat>
          <c:val>
            <c:numRef>
              <c:f>'Tracking Overview'!$AF$3:$AF$26</c:f>
              <c:numCache>
                <c:formatCode>General</c:formatCode>
                <c:ptCount val="24"/>
                <c:pt idx="0">
                  <c:v>1.5</c:v>
                </c:pt>
                <c:pt idx="1">
                  <c:v>1</c:v>
                </c:pt>
                <c:pt idx="2">
                  <c:v>1.25342465753425</c:v>
                </c:pt>
                <c:pt idx="3">
                  <c:v>1.13253012048193</c:v>
                </c:pt>
                <c:pt idx="4">
                  <c:v>1</c:v>
                </c:pt>
                <c:pt idx="5">
                  <c:v>1.2352362204724401</c:v>
                </c:pt>
                <c:pt idx="6">
                  <c:v>1.1367753623188399</c:v>
                </c:pt>
                <c:pt idx="7">
                  <c:v>0.98792613636363602</c:v>
                </c:pt>
                <c:pt idx="8">
                  <c:v>0.88324873096446699</c:v>
                </c:pt>
                <c:pt idx="9">
                  <c:v>0.79452054794520499</c:v>
                </c:pt>
                <c:pt idx="10">
                  <c:v>0.77824267782426804</c:v>
                </c:pt>
                <c:pt idx="11">
                  <c:v>0.96317829457364301</c:v>
                </c:pt>
                <c:pt idx="12">
                  <c:v>0.88434163701067603</c:v>
                </c:pt>
                <c:pt idx="13">
                  <c:v>0.82558139534883701</c:v>
                </c:pt>
                <c:pt idx="14">
                  <c:v>0.76934984520123795</c:v>
                </c:pt>
                <c:pt idx="15">
                  <c:v>0.72238372093023295</c:v>
                </c:pt>
                <c:pt idx="16">
                  <c:v>0.67711171662125302</c:v>
                </c:pt>
                <c:pt idx="17">
                  <c:v>0.64046391752577303</c:v>
                </c:pt>
                <c:pt idx="18">
                  <c:v>0.60609756097560996</c:v>
                </c:pt>
                <c:pt idx="19">
                  <c:v>0.57419168591224001</c:v>
                </c:pt>
                <c:pt idx="20">
                  <c:v>0.60485651214128</c:v>
                </c:pt>
                <c:pt idx="21">
                  <c:v>0.682247899159664</c:v>
                </c:pt>
                <c:pt idx="22">
                  <c:v>0.65261044176706795</c:v>
                </c:pt>
                <c:pt idx="23">
                  <c:v>0.71868978805395001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C-4E31-B265-6BE903D29D88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Overview'!$A$3:$A$26</c:f>
              <c:strCache>
                <c:ptCount val="24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  <c:pt idx="11">
                  <c:v>TP12</c:v>
                </c:pt>
                <c:pt idx="12">
                  <c:v>TP13</c:v>
                </c:pt>
                <c:pt idx="13">
                  <c:v>TP14</c:v>
                </c:pt>
                <c:pt idx="14">
                  <c:v>TP15</c:v>
                </c:pt>
                <c:pt idx="15">
                  <c:v>TP16</c:v>
                </c:pt>
                <c:pt idx="16">
                  <c:v>TP17</c:v>
                </c:pt>
                <c:pt idx="17">
                  <c:v>TP18</c:v>
                </c:pt>
                <c:pt idx="18">
                  <c:v>TP19</c:v>
                </c:pt>
                <c:pt idx="19">
                  <c:v>TP20</c:v>
                </c:pt>
                <c:pt idx="20">
                  <c:v>TP21</c:v>
                </c:pt>
                <c:pt idx="21">
                  <c:v>TP22</c:v>
                </c:pt>
                <c:pt idx="22">
                  <c:v>TP23</c:v>
                </c:pt>
                <c:pt idx="23">
                  <c:v>TP24</c:v>
                </c:pt>
              </c:strCache>
            </c:strRef>
          </c:cat>
          <c:val>
            <c:numRef>
              <c:f>'Tracking Overview'!$AH$3:$AH$26</c:f>
              <c:numCache>
                <c:formatCode>General</c:formatCode>
                <c:ptCount val="24"/>
                <c:pt idx="0">
                  <c:v>4.7350108118733996</c:v>
                </c:pt>
                <c:pt idx="1">
                  <c:v>1</c:v>
                </c:pt>
                <c:pt idx="2">
                  <c:v>1.07023612573319</c:v>
                </c:pt>
                <c:pt idx="3">
                  <c:v>1.0998666469106499</c:v>
                </c:pt>
                <c:pt idx="4">
                  <c:v>1</c:v>
                </c:pt>
                <c:pt idx="5">
                  <c:v>1.2423041352886799</c:v>
                </c:pt>
                <c:pt idx="6">
                  <c:v>1.2423041352886799</c:v>
                </c:pt>
                <c:pt idx="7">
                  <c:v>0.89916735160633199</c:v>
                </c:pt>
                <c:pt idx="8">
                  <c:v>0.55456070647912503</c:v>
                </c:pt>
                <c:pt idx="9">
                  <c:v>0.51615967643952998</c:v>
                </c:pt>
                <c:pt idx="10">
                  <c:v>0.70018359275614905</c:v>
                </c:pt>
                <c:pt idx="11">
                  <c:v>0.839355965224864</c:v>
                </c:pt>
                <c:pt idx="12">
                  <c:v>0.74158017725093694</c:v>
                </c:pt>
                <c:pt idx="13">
                  <c:v>0.62453956489640505</c:v>
                </c:pt>
                <c:pt idx="14">
                  <c:v>0.51441731940665403</c:v>
                </c:pt>
                <c:pt idx="15">
                  <c:v>0.44030866202561603</c:v>
                </c:pt>
                <c:pt idx="16">
                  <c:v>0.38719806076734897</c:v>
                </c:pt>
                <c:pt idx="17">
                  <c:v>0.38710025970818501</c:v>
                </c:pt>
                <c:pt idx="18">
                  <c:v>0.38710025970818501</c:v>
                </c:pt>
                <c:pt idx="19">
                  <c:v>0.38848948625630503</c:v>
                </c:pt>
                <c:pt idx="20">
                  <c:v>0.51060635879862803</c:v>
                </c:pt>
                <c:pt idx="21">
                  <c:v>0.76317546317199003</c:v>
                </c:pt>
                <c:pt idx="22">
                  <c:v>0.76456468972010905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9C-4E31-B265-6BE903D29D88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Overview'!$A$3:$A$26</c:f>
              <c:strCache>
                <c:ptCount val="24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  <c:pt idx="10">
                  <c:v>TP11</c:v>
                </c:pt>
                <c:pt idx="11">
                  <c:v>TP12</c:v>
                </c:pt>
                <c:pt idx="12">
                  <c:v>TP13</c:v>
                </c:pt>
                <c:pt idx="13">
                  <c:v>TP14</c:v>
                </c:pt>
                <c:pt idx="14">
                  <c:v>TP15</c:v>
                </c:pt>
                <c:pt idx="15">
                  <c:v>TP16</c:v>
                </c:pt>
                <c:pt idx="16">
                  <c:v>TP17</c:v>
                </c:pt>
                <c:pt idx="17">
                  <c:v>TP18</c:v>
                </c:pt>
                <c:pt idx="18">
                  <c:v>TP19</c:v>
                </c:pt>
                <c:pt idx="19">
                  <c:v>TP20</c:v>
                </c:pt>
                <c:pt idx="20">
                  <c:v>TP21</c:v>
                </c:pt>
                <c:pt idx="21">
                  <c:v>TP22</c:v>
                </c:pt>
                <c:pt idx="22">
                  <c:v>TP23</c:v>
                </c:pt>
                <c:pt idx="23">
                  <c:v>TP24</c:v>
                </c:pt>
              </c:strCache>
            </c:strRef>
          </c:cat>
          <c:val>
            <c:numRef>
              <c:f>'Tracking Overview'!$AI$3:$AI$26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0.78941530660751102</c:v>
                </c:pt>
                <c:pt idx="6">
                  <c:v>0.78941530660751102</c:v>
                </c:pt>
                <c:pt idx="7">
                  <c:v>0.66601635906541601</c:v>
                </c:pt>
                <c:pt idx="8">
                  <c:v>0.66509512364358803</c:v>
                </c:pt>
                <c:pt idx="9">
                  <c:v>0.66509512364358803</c:v>
                </c:pt>
                <c:pt idx="10">
                  <c:v>0.840816293788755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0.99748817612200902</c:v>
                </c:pt>
                <c:pt idx="20">
                  <c:v>1</c:v>
                </c:pt>
                <c:pt idx="21">
                  <c:v>0.998179393246866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9C-4E31-B265-6BE903D2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629032"/>
        <c:axId val="620555528"/>
      </c:lineChart>
      <c:catAx>
        <c:axId val="620629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620555528"/>
        <c:crosses val="autoZero"/>
        <c:auto val="1"/>
        <c:lblAlgn val="ctr"/>
        <c:lblOffset val="100"/>
        <c:noMultiLvlLbl val="0"/>
      </c:catAx>
      <c:valAx>
        <c:axId val="620555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629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47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selection activeCell="E40" sqref="E40"/>
    </sheetView>
  </sheetViews>
  <sheetFormatPr baseColWidth="10" defaultColWidth="8.81640625" defaultRowHeight="14.5" x14ac:dyDescent="0.35"/>
  <cols>
    <col min="1" max="1" width="3.6328125" customWidth="1"/>
    <col min="2" max="2" width="25.6328125" customWidth="1"/>
    <col min="3" max="3" width="5.6328125" customWidth="1"/>
    <col min="4" max="5" width="16.6328125" customWidth="1"/>
    <col min="6" max="7" width="13.6328125" customWidth="1"/>
    <col min="8" max="8" width="8.6328125" customWidth="1"/>
    <col min="9" max="9" width="25.6328125" customWidth="1"/>
    <col min="10" max="12" width="10.6328125" customWidth="1"/>
    <col min="14" max="14" width="12.6328125" customWidth="1"/>
  </cols>
  <sheetData>
    <row r="1" spans="1:17" x14ac:dyDescent="0.35">
      <c r="A1" s="29" t="s">
        <v>0</v>
      </c>
      <c r="B1" s="29"/>
      <c r="C1" s="29"/>
      <c r="D1" s="29" t="s">
        <v>1</v>
      </c>
      <c r="E1" s="29"/>
      <c r="F1" s="29" t="s">
        <v>2</v>
      </c>
      <c r="G1" s="29"/>
      <c r="H1" s="29"/>
      <c r="I1" s="29" t="s">
        <v>3</v>
      </c>
      <c r="J1" s="29"/>
      <c r="K1" s="29" t="s">
        <v>4</v>
      </c>
      <c r="L1" s="29"/>
      <c r="M1" s="29"/>
      <c r="N1" s="29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328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42375.333333333299</v>
      </c>
      <c r="G3" s="5">
        <v>42895.708333333299</v>
      </c>
      <c r="H3" s="2" t="s">
        <v>20</v>
      </c>
      <c r="I3" s="2"/>
      <c r="J3" s="6"/>
      <c r="K3" s="6">
        <v>0</v>
      </c>
      <c r="L3" s="6"/>
      <c r="M3" s="6"/>
      <c r="N3" s="6">
        <v>4318950</v>
      </c>
      <c r="Q3" s="7">
        <v>520.375</v>
      </c>
    </row>
    <row r="4" spans="1:17" x14ac:dyDescent="0.35">
      <c r="A4" s="3">
        <v>1</v>
      </c>
      <c r="B4" s="3" t="s">
        <v>21</v>
      </c>
      <c r="C4" s="4" t="s">
        <v>22</v>
      </c>
      <c r="D4" s="3"/>
      <c r="E4" s="3" t="s">
        <v>365</v>
      </c>
      <c r="F4" s="8">
        <v>42375.333333333299</v>
      </c>
      <c r="G4" s="9">
        <v>42398.708333333299</v>
      </c>
      <c r="H4" s="3" t="s">
        <v>23</v>
      </c>
      <c r="I4" s="4"/>
      <c r="J4" s="10">
        <v>0</v>
      </c>
      <c r="K4" s="11">
        <v>0</v>
      </c>
      <c r="L4" s="10">
        <v>153.125</v>
      </c>
      <c r="M4" s="11">
        <v>22050</v>
      </c>
      <c r="N4" s="10">
        <v>22050</v>
      </c>
      <c r="Q4" s="7">
        <v>23.375</v>
      </c>
    </row>
    <row r="5" spans="1:17" x14ac:dyDescent="0.35">
      <c r="A5" s="3">
        <v>2</v>
      </c>
      <c r="B5" s="3" t="s">
        <v>24</v>
      </c>
      <c r="C5" s="4" t="s">
        <v>25</v>
      </c>
      <c r="D5" s="3" t="s">
        <v>338</v>
      </c>
      <c r="E5" s="3" t="s">
        <v>366</v>
      </c>
      <c r="F5" s="8">
        <v>42401.333333333299</v>
      </c>
      <c r="G5" s="9">
        <v>42429.708333333299</v>
      </c>
      <c r="H5" s="3" t="s">
        <v>26</v>
      </c>
      <c r="I5" s="4"/>
      <c r="J5" s="10">
        <v>0</v>
      </c>
      <c r="K5" s="11">
        <v>0</v>
      </c>
      <c r="L5" s="10">
        <v>1785.7142857142901</v>
      </c>
      <c r="M5" s="11">
        <v>300000</v>
      </c>
      <c r="N5" s="10">
        <v>300000</v>
      </c>
      <c r="Q5" s="7">
        <v>28.375</v>
      </c>
    </row>
    <row r="6" spans="1:17" ht="22" x14ac:dyDescent="0.35">
      <c r="A6" s="3">
        <v>3</v>
      </c>
      <c r="B6" s="3" t="s">
        <v>27</v>
      </c>
      <c r="C6" s="4" t="s">
        <v>28</v>
      </c>
      <c r="D6" s="3" t="s">
        <v>339</v>
      </c>
      <c r="E6" s="3" t="s">
        <v>367</v>
      </c>
      <c r="F6" s="8">
        <v>42429.333333333299</v>
      </c>
      <c r="G6" s="9">
        <v>42499.708333333299</v>
      </c>
      <c r="H6" s="3" t="s">
        <v>29</v>
      </c>
      <c r="I6" s="4"/>
      <c r="J6" s="10">
        <v>0</v>
      </c>
      <c r="K6" s="11">
        <v>0</v>
      </c>
      <c r="L6" s="10">
        <v>0</v>
      </c>
      <c r="M6" s="11">
        <v>0</v>
      </c>
      <c r="N6" s="10">
        <v>0</v>
      </c>
      <c r="Q6" s="7">
        <v>70.375</v>
      </c>
    </row>
    <row r="7" spans="1:17" x14ac:dyDescent="0.35">
      <c r="A7" s="3">
        <v>4</v>
      </c>
      <c r="B7" s="3" t="s">
        <v>30</v>
      </c>
      <c r="C7" s="4" t="s">
        <v>31</v>
      </c>
      <c r="D7" s="3" t="s">
        <v>339</v>
      </c>
      <c r="E7" s="3" t="s">
        <v>368</v>
      </c>
      <c r="F7" s="8">
        <v>42444.333333333299</v>
      </c>
      <c r="G7" s="9">
        <v>42471.708333333299</v>
      </c>
      <c r="H7" s="3" t="s">
        <v>32</v>
      </c>
      <c r="I7" s="4"/>
      <c r="J7" s="10">
        <v>0</v>
      </c>
      <c r="K7" s="11">
        <v>0</v>
      </c>
      <c r="L7" s="10">
        <v>40</v>
      </c>
      <c r="M7" s="11">
        <v>6400</v>
      </c>
      <c r="N7" s="10">
        <v>6400</v>
      </c>
      <c r="Q7" s="7">
        <v>27.375</v>
      </c>
    </row>
    <row r="8" spans="1:17" ht="22" x14ac:dyDescent="0.35">
      <c r="A8" s="3">
        <v>5</v>
      </c>
      <c r="B8" s="3" t="s">
        <v>33</v>
      </c>
      <c r="C8" s="4" t="s">
        <v>34</v>
      </c>
      <c r="D8" s="3" t="s">
        <v>340</v>
      </c>
      <c r="E8" s="3" t="s">
        <v>369</v>
      </c>
      <c r="F8" s="8">
        <v>42471.333333333299</v>
      </c>
      <c r="G8" s="9">
        <v>42548.708333333299</v>
      </c>
      <c r="H8" s="3" t="s">
        <v>35</v>
      </c>
      <c r="I8" s="4"/>
      <c r="J8" s="10">
        <v>0</v>
      </c>
      <c r="K8" s="11">
        <v>0</v>
      </c>
      <c r="L8" s="10">
        <v>0</v>
      </c>
      <c r="M8" s="11">
        <v>0</v>
      </c>
      <c r="N8" s="10">
        <v>0</v>
      </c>
      <c r="Q8" s="7">
        <v>77.375</v>
      </c>
    </row>
    <row r="9" spans="1:17" x14ac:dyDescent="0.35">
      <c r="A9" s="3">
        <v>6</v>
      </c>
      <c r="B9" s="3" t="s">
        <v>36</v>
      </c>
      <c r="C9" s="4" t="s">
        <v>37</v>
      </c>
      <c r="D9" s="3" t="s">
        <v>341</v>
      </c>
      <c r="E9" s="3" t="s">
        <v>367</v>
      </c>
      <c r="F9" s="8">
        <v>42466.333333333299</v>
      </c>
      <c r="G9" s="9">
        <v>42499.708333333299</v>
      </c>
      <c r="H9" s="3" t="s">
        <v>38</v>
      </c>
      <c r="I9" s="4"/>
      <c r="J9" s="10">
        <v>0</v>
      </c>
      <c r="K9" s="11">
        <v>0</v>
      </c>
      <c r="L9" s="10">
        <v>62.5</v>
      </c>
      <c r="M9" s="11">
        <v>12000</v>
      </c>
      <c r="N9" s="10">
        <v>12000</v>
      </c>
      <c r="Q9" s="7">
        <v>33.375</v>
      </c>
    </row>
    <row r="10" spans="1:17" x14ac:dyDescent="0.35">
      <c r="A10" s="3">
        <v>7</v>
      </c>
      <c r="B10" s="3" t="s">
        <v>39</v>
      </c>
      <c r="C10" s="4" t="s">
        <v>40</v>
      </c>
      <c r="D10" s="3" t="s">
        <v>342</v>
      </c>
      <c r="E10" s="3" t="s">
        <v>370</v>
      </c>
      <c r="F10" s="8">
        <v>42500.333333333299</v>
      </c>
      <c r="G10" s="9">
        <v>42506.708333333299</v>
      </c>
      <c r="H10" s="3" t="s">
        <v>41</v>
      </c>
      <c r="I10" s="4"/>
      <c r="J10" s="10">
        <v>0</v>
      </c>
      <c r="K10" s="11">
        <v>0</v>
      </c>
      <c r="L10" s="10">
        <v>767.5</v>
      </c>
      <c r="M10" s="11">
        <v>30700</v>
      </c>
      <c r="N10" s="10">
        <v>30700</v>
      </c>
      <c r="Q10" s="7">
        <v>6.375</v>
      </c>
    </row>
    <row r="11" spans="1:17" x14ac:dyDescent="0.35">
      <c r="A11" s="3">
        <v>8</v>
      </c>
      <c r="B11" s="3" t="s">
        <v>42</v>
      </c>
      <c r="C11" s="4" t="s">
        <v>43</v>
      </c>
      <c r="D11" s="3" t="s">
        <v>343</v>
      </c>
      <c r="E11" s="3" t="s">
        <v>371</v>
      </c>
      <c r="F11" s="8">
        <v>42507.333333333299</v>
      </c>
      <c r="G11" s="9">
        <v>42507.708333333299</v>
      </c>
      <c r="H11" s="3" t="s">
        <v>44</v>
      </c>
      <c r="I11" s="4"/>
      <c r="J11" s="10">
        <v>0</v>
      </c>
      <c r="K11" s="11">
        <v>0</v>
      </c>
      <c r="L11" s="10">
        <v>0</v>
      </c>
      <c r="M11" s="11">
        <v>0</v>
      </c>
      <c r="N11" s="10">
        <v>0</v>
      </c>
      <c r="Q11" s="7">
        <v>0.375</v>
      </c>
    </row>
    <row r="12" spans="1:17" x14ac:dyDescent="0.35">
      <c r="A12" s="3">
        <v>9</v>
      </c>
      <c r="B12" s="3" t="s">
        <v>45</v>
      </c>
      <c r="C12" s="4" t="s">
        <v>46</v>
      </c>
      <c r="D12" s="3" t="s">
        <v>344</v>
      </c>
      <c r="E12" s="3" t="s">
        <v>372</v>
      </c>
      <c r="F12" s="8">
        <v>42507.333333333299</v>
      </c>
      <c r="G12" s="9">
        <v>42507.708333333299</v>
      </c>
      <c r="H12" s="3" t="s">
        <v>44</v>
      </c>
      <c r="I12" s="4"/>
      <c r="J12" s="10">
        <v>0</v>
      </c>
      <c r="K12" s="11">
        <v>0</v>
      </c>
      <c r="L12" s="10">
        <v>312.5</v>
      </c>
      <c r="M12" s="11">
        <v>2500</v>
      </c>
      <c r="N12" s="10">
        <v>2500</v>
      </c>
      <c r="Q12" s="7">
        <v>0.375</v>
      </c>
    </row>
    <row r="13" spans="1:17" x14ac:dyDescent="0.35">
      <c r="A13" s="3">
        <v>10</v>
      </c>
      <c r="B13" s="3" t="s">
        <v>47</v>
      </c>
      <c r="C13" s="4" t="s">
        <v>48</v>
      </c>
      <c r="D13" s="3" t="s">
        <v>345</v>
      </c>
      <c r="E13" s="3" t="s">
        <v>373</v>
      </c>
      <c r="F13" s="8">
        <v>42508.333333333299</v>
      </c>
      <c r="G13" s="9">
        <v>42528.708333333299</v>
      </c>
      <c r="H13" s="3" t="s">
        <v>49</v>
      </c>
      <c r="I13" s="4"/>
      <c r="J13" s="10">
        <v>0</v>
      </c>
      <c r="K13" s="11">
        <v>0</v>
      </c>
      <c r="L13" s="10">
        <v>0</v>
      </c>
      <c r="M13" s="11">
        <v>0</v>
      </c>
      <c r="N13" s="10">
        <v>0</v>
      </c>
      <c r="Q13" s="7">
        <v>20.375</v>
      </c>
    </row>
    <row r="14" spans="1:17" x14ac:dyDescent="0.35">
      <c r="A14" s="3">
        <v>11</v>
      </c>
      <c r="B14" s="3" t="s">
        <v>50</v>
      </c>
      <c r="C14" s="4" t="s">
        <v>51</v>
      </c>
      <c r="D14" s="3" t="s">
        <v>346</v>
      </c>
      <c r="E14" s="3" t="s">
        <v>374</v>
      </c>
      <c r="F14" s="8">
        <v>42528.333333333299</v>
      </c>
      <c r="G14" s="9">
        <v>42528.708333333299</v>
      </c>
      <c r="H14" s="3" t="s">
        <v>44</v>
      </c>
      <c r="I14" s="4"/>
      <c r="J14" s="10">
        <v>0</v>
      </c>
      <c r="K14" s="11">
        <v>0</v>
      </c>
      <c r="L14" s="10">
        <v>0</v>
      </c>
      <c r="M14" s="11">
        <v>0</v>
      </c>
      <c r="N14" s="10">
        <v>0</v>
      </c>
      <c r="Q14" s="7">
        <v>0.375</v>
      </c>
    </row>
    <row r="15" spans="1:17" x14ac:dyDescent="0.35">
      <c r="A15" s="3">
        <v>12</v>
      </c>
      <c r="B15" s="3" t="s">
        <v>52</v>
      </c>
      <c r="C15" s="4" t="s">
        <v>53</v>
      </c>
      <c r="D15" s="3" t="s">
        <v>347</v>
      </c>
      <c r="E15" s="3" t="s">
        <v>375</v>
      </c>
      <c r="F15" s="8">
        <v>42529.333333333299</v>
      </c>
      <c r="G15" s="9">
        <v>42542.708333333299</v>
      </c>
      <c r="H15" s="3" t="s">
        <v>54</v>
      </c>
      <c r="I15" s="4"/>
      <c r="J15" s="10">
        <v>0</v>
      </c>
      <c r="K15" s="11">
        <v>0</v>
      </c>
      <c r="L15" s="10">
        <v>40</v>
      </c>
      <c r="M15" s="11">
        <v>3200</v>
      </c>
      <c r="N15" s="10">
        <v>3200</v>
      </c>
      <c r="Q15" s="7">
        <v>13.375</v>
      </c>
    </row>
    <row r="16" spans="1:17" x14ac:dyDescent="0.35">
      <c r="A16" s="3">
        <v>13</v>
      </c>
      <c r="B16" s="3" t="s">
        <v>55</v>
      </c>
      <c r="C16" s="4" t="s">
        <v>56</v>
      </c>
      <c r="D16" s="3" t="s">
        <v>348</v>
      </c>
      <c r="E16" s="3" t="s">
        <v>376</v>
      </c>
      <c r="F16" s="8">
        <v>42543.333333333299</v>
      </c>
      <c r="G16" s="9">
        <v>42549.708333333299</v>
      </c>
      <c r="H16" s="3" t="s">
        <v>41</v>
      </c>
      <c r="I16" s="4"/>
      <c r="J16" s="10">
        <v>0</v>
      </c>
      <c r="K16" s="11">
        <v>0</v>
      </c>
      <c r="L16" s="10">
        <v>40</v>
      </c>
      <c r="M16" s="11">
        <v>1600</v>
      </c>
      <c r="N16" s="10">
        <v>1600</v>
      </c>
      <c r="Q16" s="7">
        <v>6.375</v>
      </c>
    </row>
    <row r="17" spans="1:17" x14ac:dyDescent="0.35">
      <c r="A17" s="3">
        <v>14</v>
      </c>
      <c r="B17" s="3" t="s">
        <v>57</v>
      </c>
      <c r="C17" s="4" t="s">
        <v>58</v>
      </c>
      <c r="D17" s="3" t="s">
        <v>349</v>
      </c>
      <c r="E17" s="3" t="s">
        <v>377</v>
      </c>
      <c r="F17" s="8">
        <v>42550.333333333299</v>
      </c>
      <c r="G17" s="9">
        <v>42556.708333333299</v>
      </c>
      <c r="H17" s="3" t="s">
        <v>41</v>
      </c>
      <c r="I17" s="4"/>
      <c r="J17" s="10">
        <v>0</v>
      </c>
      <c r="K17" s="11">
        <v>0</v>
      </c>
      <c r="L17" s="10">
        <v>0</v>
      </c>
      <c r="M17" s="11">
        <v>0</v>
      </c>
      <c r="N17" s="10">
        <v>0</v>
      </c>
      <c r="Q17" s="7">
        <v>6.375</v>
      </c>
    </row>
    <row r="18" spans="1:17" x14ac:dyDescent="0.35">
      <c r="A18" s="3">
        <v>15</v>
      </c>
      <c r="B18" s="3" t="s">
        <v>59</v>
      </c>
      <c r="C18" s="4" t="s">
        <v>60</v>
      </c>
      <c r="D18" s="3" t="s">
        <v>350</v>
      </c>
      <c r="E18" s="3" t="s">
        <v>378</v>
      </c>
      <c r="F18" s="8">
        <v>42566.333333333299</v>
      </c>
      <c r="G18" s="9">
        <v>42566.708333333299</v>
      </c>
      <c r="H18" s="3" t="s">
        <v>44</v>
      </c>
      <c r="I18" s="4"/>
      <c r="J18" s="10">
        <v>0</v>
      </c>
      <c r="K18" s="11">
        <v>0</v>
      </c>
      <c r="L18" s="10">
        <v>0</v>
      </c>
      <c r="M18" s="11">
        <v>0</v>
      </c>
      <c r="N18" s="10">
        <v>0</v>
      </c>
      <c r="Q18" s="7">
        <v>0.375</v>
      </c>
    </row>
    <row r="19" spans="1:17" x14ac:dyDescent="0.35">
      <c r="A19" s="3">
        <v>16</v>
      </c>
      <c r="B19" s="3" t="s">
        <v>61</v>
      </c>
      <c r="C19" s="4" t="s">
        <v>62</v>
      </c>
      <c r="D19" s="3" t="s">
        <v>351</v>
      </c>
      <c r="E19" s="3" t="s">
        <v>379</v>
      </c>
      <c r="F19" s="8">
        <v>42577.333333333299</v>
      </c>
      <c r="G19" s="9">
        <v>42577.708333333299</v>
      </c>
      <c r="H19" s="3" t="s">
        <v>44</v>
      </c>
      <c r="I19" s="4"/>
      <c r="J19" s="10">
        <v>0</v>
      </c>
      <c r="K19" s="11">
        <v>0</v>
      </c>
      <c r="L19" s="10">
        <v>0</v>
      </c>
      <c r="M19" s="11">
        <v>0</v>
      </c>
      <c r="N19" s="10">
        <v>0</v>
      </c>
      <c r="Q19" s="7">
        <v>0.375</v>
      </c>
    </row>
    <row r="20" spans="1:17" x14ac:dyDescent="0.35">
      <c r="A20" s="3">
        <v>17</v>
      </c>
      <c r="B20" s="3" t="s">
        <v>63</v>
      </c>
      <c r="C20" s="4" t="s">
        <v>64</v>
      </c>
      <c r="D20" s="3" t="s">
        <v>352</v>
      </c>
      <c r="E20" s="3" t="s">
        <v>380</v>
      </c>
      <c r="F20" s="8">
        <v>42577.333333333299</v>
      </c>
      <c r="G20" s="9">
        <v>42590.708333333299</v>
      </c>
      <c r="H20" s="3" t="s">
        <v>54</v>
      </c>
      <c r="I20" s="4"/>
      <c r="J20" s="10">
        <v>0</v>
      </c>
      <c r="K20" s="11">
        <v>0</v>
      </c>
      <c r="L20" s="10">
        <v>0</v>
      </c>
      <c r="M20" s="11">
        <v>0</v>
      </c>
      <c r="N20" s="10">
        <v>0</v>
      </c>
      <c r="Q20" s="7">
        <v>13.375</v>
      </c>
    </row>
    <row r="21" spans="1:17" x14ac:dyDescent="0.35">
      <c r="A21" s="3">
        <v>18</v>
      </c>
      <c r="B21" s="3" t="s">
        <v>65</v>
      </c>
      <c r="C21" s="4" t="s">
        <v>66</v>
      </c>
      <c r="D21" s="3" t="s">
        <v>353</v>
      </c>
      <c r="E21" s="3" t="s">
        <v>381</v>
      </c>
      <c r="F21" s="8">
        <v>42591.333333333299</v>
      </c>
      <c r="G21" s="9">
        <v>42597.708333333299</v>
      </c>
      <c r="H21" s="3" t="s">
        <v>41</v>
      </c>
      <c r="I21" s="4"/>
      <c r="J21" s="10">
        <v>0</v>
      </c>
      <c r="K21" s="11">
        <v>0</v>
      </c>
      <c r="L21" s="10">
        <v>4125</v>
      </c>
      <c r="M21" s="11">
        <v>165000</v>
      </c>
      <c r="N21" s="10">
        <v>165000</v>
      </c>
      <c r="Q21" s="7">
        <v>6.375</v>
      </c>
    </row>
    <row r="22" spans="1:17" ht="22" x14ac:dyDescent="0.35">
      <c r="A22" s="4">
        <v>38</v>
      </c>
      <c r="B22" s="4" t="s">
        <v>67</v>
      </c>
      <c r="C22" s="4" t="s">
        <v>68</v>
      </c>
      <c r="D22" s="2"/>
      <c r="E22" s="2"/>
      <c r="F22" s="5">
        <v>42618.333333333299</v>
      </c>
      <c r="G22" s="5">
        <v>42636.708333333299</v>
      </c>
      <c r="H22" s="2" t="s">
        <v>49</v>
      </c>
      <c r="I22" s="2"/>
      <c r="J22" s="6"/>
      <c r="K22" s="6">
        <v>0</v>
      </c>
      <c r="L22" s="6"/>
      <c r="M22" s="6"/>
      <c r="N22" s="6">
        <v>410000</v>
      </c>
      <c r="Q22" s="7">
        <v>18.375</v>
      </c>
    </row>
    <row r="23" spans="1:17" ht="22" x14ac:dyDescent="0.35">
      <c r="A23" s="3">
        <v>19</v>
      </c>
      <c r="B23" s="3" t="s">
        <v>69</v>
      </c>
      <c r="C23" s="4" t="s">
        <v>70</v>
      </c>
      <c r="D23" s="3" t="s">
        <v>354</v>
      </c>
      <c r="E23" s="3" t="s">
        <v>382</v>
      </c>
      <c r="F23" s="8">
        <v>42618.333333333299</v>
      </c>
      <c r="G23" s="9">
        <v>42636.708333333299</v>
      </c>
      <c r="H23" s="3" t="s">
        <v>49</v>
      </c>
      <c r="I23" s="4"/>
      <c r="J23" s="10">
        <v>0</v>
      </c>
      <c r="K23" s="11">
        <v>0</v>
      </c>
      <c r="L23" s="10">
        <v>3416.6666666666702</v>
      </c>
      <c r="M23" s="11">
        <v>410000</v>
      </c>
      <c r="N23" s="10">
        <v>410000</v>
      </c>
      <c r="Q23" s="7">
        <v>18.375</v>
      </c>
    </row>
    <row r="24" spans="1:17" x14ac:dyDescent="0.35">
      <c r="A24" s="4">
        <v>39</v>
      </c>
      <c r="B24" s="4" t="s">
        <v>71</v>
      </c>
      <c r="C24" s="4" t="s">
        <v>72</v>
      </c>
      <c r="D24" s="2"/>
      <c r="E24" s="2"/>
      <c r="F24" s="5">
        <v>42618.333333333299</v>
      </c>
      <c r="G24" s="5">
        <v>42699.708333333299</v>
      </c>
      <c r="H24" s="2" t="s">
        <v>73</v>
      </c>
      <c r="I24" s="2"/>
      <c r="J24" s="6"/>
      <c r="K24" s="6">
        <v>0</v>
      </c>
      <c r="L24" s="6"/>
      <c r="M24" s="6"/>
      <c r="N24" s="6">
        <v>195000</v>
      </c>
      <c r="Q24" s="7">
        <v>81.375</v>
      </c>
    </row>
    <row r="25" spans="1:17" x14ac:dyDescent="0.35">
      <c r="A25" s="3">
        <v>20</v>
      </c>
      <c r="B25" s="3" t="s">
        <v>74</v>
      </c>
      <c r="C25" s="4" t="s">
        <v>75</v>
      </c>
      <c r="D25" s="3" t="s">
        <v>354</v>
      </c>
      <c r="E25" s="3" t="s">
        <v>382</v>
      </c>
      <c r="F25" s="8">
        <v>42618.333333333299</v>
      </c>
      <c r="G25" s="9">
        <v>42692.708333333299</v>
      </c>
      <c r="H25" s="3" t="s">
        <v>76</v>
      </c>
      <c r="I25" s="4"/>
      <c r="J25" s="10">
        <v>0</v>
      </c>
      <c r="K25" s="11">
        <v>0</v>
      </c>
      <c r="L25" s="10">
        <v>438.63636363636402</v>
      </c>
      <c r="M25" s="11">
        <v>193000</v>
      </c>
      <c r="N25" s="10">
        <v>193000</v>
      </c>
      <c r="Q25" s="7">
        <v>74.375</v>
      </c>
    </row>
    <row r="26" spans="1:17" x14ac:dyDescent="0.35">
      <c r="A26" s="3">
        <v>21</v>
      </c>
      <c r="B26" s="3" t="s">
        <v>77</v>
      </c>
      <c r="C26" s="4" t="s">
        <v>78</v>
      </c>
      <c r="D26" s="3" t="s">
        <v>355</v>
      </c>
      <c r="E26" s="3" t="s">
        <v>383</v>
      </c>
      <c r="F26" s="8">
        <v>42695.333333333299</v>
      </c>
      <c r="G26" s="9">
        <v>42699.708333333299</v>
      </c>
      <c r="H26" s="3" t="s">
        <v>41</v>
      </c>
      <c r="I26" s="4"/>
      <c r="J26" s="10">
        <v>0</v>
      </c>
      <c r="K26" s="11">
        <v>0</v>
      </c>
      <c r="L26" s="10">
        <v>50</v>
      </c>
      <c r="M26" s="11">
        <v>2000</v>
      </c>
      <c r="N26" s="10">
        <v>2000</v>
      </c>
      <c r="Q26" s="7">
        <v>4.375</v>
      </c>
    </row>
    <row r="27" spans="1:17" x14ac:dyDescent="0.35">
      <c r="A27" s="3">
        <v>22</v>
      </c>
      <c r="B27" s="3" t="s">
        <v>79</v>
      </c>
      <c r="C27" s="4" t="s">
        <v>80</v>
      </c>
      <c r="D27" s="3" t="s">
        <v>356</v>
      </c>
      <c r="E27" s="3" t="s">
        <v>384</v>
      </c>
      <c r="F27" s="8">
        <v>42699.333333333299</v>
      </c>
      <c r="G27" s="9">
        <v>42699.708333333299</v>
      </c>
      <c r="H27" s="3" t="s">
        <v>44</v>
      </c>
      <c r="I27" s="4"/>
      <c r="J27" s="10">
        <v>0</v>
      </c>
      <c r="K27" s="11">
        <v>0</v>
      </c>
      <c r="L27" s="10">
        <v>0</v>
      </c>
      <c r="M27" s="11">
        <v>0</v>
      </c>
      <c r="N27" s="10">
        <v>0</v>
      </c>
      <c r="Q27" s="7">
        <v>0.375</v>
      </c>
    </row>
    <row r="28" spans="1:17" x14ac:dyDescent="0.35">
      <c r="A28" s="4">
        <v>40</v>
      </c>
      <c r="B28" s="4" t="s">
        <v>81</v>
      </c>
      <c r="C28" s="4" t="s">
        <v>82</v>
      </c>
      <c r="D28" s="2"/>
      <c r="E28" s="2"/>
      <c r="F28" s="5">
        <v>42702.333333333299</v>
      </c>
      <c r="G28" s="5">
        <v>42758.708333333299</v>
      </c>
      <c r="H28" s="2" t="s">
        <v>83</v>
      </c>
      <c r="I28" s="2"/>
      <c r="J28" s="6"/>
      <c r="K28" s="6">
        <v>0</v>
      </c>
      <c r="L28" s="6"/>
      <c r="M28" s="6"/>
      <c r="N28" s="6">
        <v>1056833.33333333</v>
      </c>
      <c r="Q28" s="7">
        <v>56.375</v>
      </c>
    </row>
    <row r="29" spans="1:17" x14ac:dyDescent="0.35">
      <c r="A29" s="3">
        <v>23</v>
      </c>
      <c r="B29" s="3" t="s">
        <v>84</v>
      </c>
      <c r="C29" s="4" t="s">
        <v>85</v>
      </c>
      <c r="D29" s="3" t="s">
        <v>357</v>
      </c>
      <c r="E29" s="3" t="s">
        <v>385</v>
      </c>
      <c r="F29" s="8">
        <v>42702.333333333299</v>
      </c>
      <c r="G29" s="9">
        <v>42744.708333333299</v>
      </c>
      <c r="H29" s="3" t="s">
        <v>86</v>
      </c>
      <c r="I29" s="4"/>
      <c r="J29" s="10">
        <v>0</v>
      </c>
      <c r="K29" s="11">
        <v>0</v>
      </c>
      <c r="L29" s="10">
        <v>4204.9731182795704</v>
      </c>
      <c r="M29" s="11">
        <v>1042833.33333333</v>
      </c>
      <c r="N29" s="10">
        <v>1042833.33333333</v>
      </c>
      <c r="Q29" s="7">
        <v>42.375</v>
      </c>
    </row>
    <row r="30" spans="1:17" x14ac:dyDescent="0.35">
      <c r="A30" s="3">
        <v>24</v>
      </c>
      <c r="B30" s="3" t="s">
        <v>87</v>
      </c>
      <c r="C30" s="4" t="s">
        <v>88</v>
      </c>
      <c r="D30" s="3" t="s">
        <v>357</v>
      </c>
      <c r="E30" s="3" t="s">
        <v>385</v>
      </c>
      <c r="F30" s="8">
        <v>42733.333333333299</v>
      </c>
      <c r="G30" s="9">
        <v>42746.708333333299</v>
      </c>
      <c r="H30" s="3" t="s">
        <v>54</v>
      </c>
      <c r="I30" s="4"/>
      <c r="J30" s="10">
        <v>0</v>
      </c>
      <c r="K30" s="11">
        <v>0</v>
      </c>
      <c r="L30" s="10">
        <v>150</v>
      </c>
      <c r="M30" s="11">
        <v>12000</v>
      </c>
      <c r="N30" s="10">
        <v>12000</v>
      </c>
      <c r="Q30" s="7">
        <v>13.375</v>
      </c>
    </row>
    <row r="31" spans="1:17" x14ac:dyDescent="0.35">
      <c r="A31" s="3">
        <v>25</v>
      </c>
      <c r="B31" s="3" t="s">
        <v>77</v>
      </c>
      <c r="C31" s="4" t="s">
        <v>89</v>
      </c>
      <c r="D31" s="3" t="s">
        <v>358</v>
      </c>
      <c r="E31" s="3" t="s">
        <v>386</v>
      </c>
      <c r="F31" s="8">
        <v>42747.333333333299</v>
      </c>
      <c r="G31" s="9">
        <v>42758.708333333299</v>
      </c>
      <c r="H31" s="3" t="s">
        <v>90</v>
      </c>
      <c r="I31" s="4"/>
      <c r="J31" s="10">
        <v>0</v>
      </c>
      <c r="K31" s="11">
        <v>0</v>
      </c>
      <c r="L31" s="10">
        <v>31.25</v>
      </c>
      <c r="M31" s="11">
        <v>2000</v>
      </c>
      <c r="N31" s="10">
        <v>2000</v>
      </c>
      <c r="Q31" s="7">
        <v>11.375</v>
      </c>
    </row>
    <row r="32" spans="1:17" x14ac:dyDescent="0.35">
      <c r="A32" s="3">
        <v>26</v>
      </c>
      <c r="B32" s="3" t="s">
        <v>79</v>
      </c>
      <c r="C32" s="4" t="s">
        <v>91</v>
      </c>
      <c r="D32" s="3" t="s">
        <v>359</v>
      </c>
      <c r="E32" s="3" t="s">
        <v>387</v>
      </c>
      <c r="F32" s="8">
        <v>42758.333333333299</v>
      </c>
      <c r="G32" s="9">
        <v>42758.708333333299</v>
      </c>
      <c r="H32" s="3" t="s">
        <v>44</v>
      </c>
      <c r="I32" s="4"/>
      <c r="J32" s="10">
        <v>0</v>
      </c>
      <c r="K32" s="11">
        <v>0</v>
      </c>
      <c r="L32" s="10">
        <v>0</v>
      </c>
      <c r="M32" s="11">
        <v>0</v>
      </c>
      <c r="N32" s="10">
        <v>0</v>
      </c>
      <c r="Q32" s="7">
        <v>0.375</v>
      </c>
    </row>
    <row r="33" spans="1:17" x14ac:dyDescent="0.35">
      <c r="A33" s="4">
        <v>41</v>
      </c>
      <c r="B33" s="4" t="s">
        <v>92</v>
      </c>
      <c r="C33" s="4" t="s">
        <v>93</v>
      </c>
      <c r="D33" s="2"/>
      <c r="E33" s="2"/>
      <c r="F33" s="5">
        <v>42759.333333333299</v>
      </c>
      <c r="G33" s="5">
        <v>42895.708333333299</v>
      </c>
      <c r="H33" s="2" t="s">
        <v>94</v>
      </c>
      <c r="I33" s="2"/>
      <c r="J33" s="6"/>
      <c r="K33" s="6">
        <v>0</v>
      </c>
      <c r="L33" s="6"/>
      <c r="M33" s="6"/>
      <c r="N33" s="6">
        <v>2113666.6666666698</v>
      </c>
      <c r="Q33" s="7">
        <v>136.375</v>
      </c>
    </row>
    <row r="34" spans="1:17" x14ac:dyDescent="0.35">
      <c r="A34" s="3">
        <v>27</v>
      </c>
      <c r="B34" s="3" t="s">
        <v>95</v>
      </c>
      <c r="C34" s="4" t="s">
        <v>96</v>
      </c>
      <c r="D34" s="3" t="s">
        <v>360</v>
      </c>
      <c r="E34" s="3" t="s">
        <v>388</v>
      </c>
      <c r="F34" s="8">
        <v>42759.333333333299</v>
      </c>
      <c r="G34" s="9">
        <v>42776.708333333299</v>
      </c>
      <c r="H34" s="3" t="s">
        <v>97</v>
      </c>
      <c r="I34" s="4"/>
      <c r="J34" s="10">
        <v>0</v>
      </c>
      <c r="K34" s="11">
        <v>0</v>
      </c>
      <c r="L34" s="10">
        <v>107.142857142857</v>
      </c>
      <c r="M34" s="11">
        <v>12000</v>
      </c>
      <c r="N34" s="10">
        <v>12000</v>
      </c>
      <c r="Q34" s="7">
        <v>17.375</v>
      </c>
    </row>
    <row r="35" spans="1:17" x14ac:dyDescent="0.35">
      <c r="A35" s="3">
        <v>28</v>
      </c>
      <c r="B35" s="3" t="s">
        <v>98</v>
      </c>
      <c r="C35" s="4" t="s">
        <v>99</v>
      </c>
      <c r="D35" s="3" t="s">
        <v>361</v>
      </c>
      <c r="E35" s="3" t="s">
        <v>389</v>
      </c>
      <c r="F35" s="8">
        <v>42776.333333333299</v>
      </c>
      <c r="G35" s="9">
        <v>42776.708333333299</v>
      </c>
      <c r="H35" s="3" t="s">
        <v>44</v>
      </c>
      <c r="I35" s="4"/>
      <c r="J35" s="10">
        <v>0</v>
      </c>
      <c r="K35" s="11">
        <v>0</v>
      </c>
      <c r="L35" s="10">
        <v>0</v>
      </c>
      <c r="M35" s="11">
        <v>0</v>
      </c>
      <c r="N35" s="10">
        <v>0</v>
      </c>
      <c r="Q35" s="7">
        <v>0.375</v>
      </c>
    </row>
    <row r="36" spans="1:17" x14ac:dyDescent="0.35">
      <c r="A36" s="3">
        <v>29</v>
      </c>
      <c r="B36" s="3" t="s">
        <v>100</v>
      </c>
      <c r="C36" s="4" t="s">
        <v>101</v>
      </c>
      <c r="D36" s="3" t="s">
        <v>360</v>
      </c>
      <c r="E36" s="3" t="s">
        <v>389</v>
      </c>
      <c r="F36" s="8">
        <v>42761.333333333299</v>
      </c>
      <c r="G36" s="9">
        <v>42775.708333333299</v>
      </c>
      <c r="H36" s="3" t="s">
        <v>102</v>
      </c>
      <c r="I36" s="4"/>
      <c r="J36" s="10">
        <v>0</v>
      </c>
      <c r="K36" s="11">
        <v>0</v>
      </c>
      <c r="L36" s="10">
        <v>1079.54545454545</v>
      </c>
      <c r="M36" s="11">
        <v>95000</v>
      </c>
      <c r="N36" s="10">
        <v>95000</v>
      </c>
      <c r="Q36" s="7">
        <v>14.375</v>
      </c>
    </row>
    <row r="37" spans="1:17" x14ac:dyDescent="0.35">
      <c r="A37" s="3">
        <v>30</v>
      </c>
      <c r="B37" s="3" t="s">
        <v>103</v>
      </c>
      <c r="C37" s="4" t="s">
        <v>104</v>
      </c>
      <c r="D37" s="3" t="s">
        <v>362</v>
      </c>
      <c r="E37" s="3" t="s">
        <v>390</v>
      </c>
      <c r="F37" s="8">
        <v>42776.333333333299</v>
      </c>
      <c r="G37" s="9">
        <v>42881.708333333299</v>
      </c>
      <c r="H37" s="3" t="s">
        <v>105</v>
      </c>
      <c r="I37" s="4"/>
      <c r="J37" s="10">
        <v>0</v>
      </c>
      <c r="K37" s="11">
        <v>0</v>
      </c>
      <c r="L37" s="10">
        <v>3256.0307017543901</v>
      </c>
      <c r="M37" s="11">
        <v>1979666.66666667</v>
      </c>
      <c r="N37" s="10">
        <v>1979666.66666667</v>
      </c>
      <c r="Q37" s="7">
        <v>105.375</v>
      </c>
    </row>
    <row r="38" spans="1:17" ht="22" x14ac:dyDescent="0.35">
      <c r="A38" s="3">
        <v>31</v>
      </c>
      <c r="B38" s="3" t="s">
        <v>106</v>
      </c>
      <c r="C38" s="4" t="s">
        <v>107</v>
      </c>
      <c r="D38" s="3" t="s">
        <v>362</v>
      </c>
      <c r="E38" s="3" t="s">
        <v>390</v>
      </c>
      <c r="F38" s="8">
        <v>42871.333333333299</v>
      </c>
      <c r="G38" s="9">
        <v>42881.708333333299</v>
      </c>
      <c r="H38" s="3" t="s">
        <v>108</v>
      </c>
      <c r="I38" s="4"/>
      <c r="J38" s="10">
        <v>0</v>
      </c>
      <c r="K38" s="11">
        <v>0</v>
      </c>
      <c r="L38" s="10">
        <v>347.222222222222</v>
      </c>
      <c r="M38" s="11">
        <v>25000</v>
      </c>
      <c r="N38" s="10">
        <v>25000</v>
      </c>
      <c r="Q38" s="7">
        <v>10.375</v>
      </c>
    </row>
    <row r="39" spans="1:17" x14ac:dyDescent="0.35">
      <c r="A39" s="3">
        <v>32</v>
      </c>
      <c r="B39" s="3" t="s">
        <v>77</v>
      </c>
      <c r="C39" s="4" t="s">
        <v>109</v>
      </c>
      <c r="D39" s="3" t="s">
        <v>363</v>
      </c>
      <c r="E39" s="3" t="s">
        <v>391</v>
      </c>
      <c r="F39" s="8">
        <v>42881.333333333299</v>
      </c>
      <c r="G39" s="9">
        <v>42895.708333333299</v>
      </c>
      <c r="H39" s="3" t="s">
        <v>102</v>
      </c>
      <c r="I39" s="4"/>
      <c r="J39" s="10">
        <v>0</v>
      </c>
      <c r="K39" s="11">
        <v>0</v>
      </c>
      <c r="L39" s="10">
        <v>22.727272727272702</v>
      </c>
      <c r="M39" s="11">
        <v>2000</v>
      </c>
      <c r="N39" s="10">
        <v>2000</v>
      </c>
      <c r="Q39" s="7">
        <v>14.375</v>
      </c>
    </row>
    <row r="40" spans="1:17" x14ac:dyDescent="0.35">
      <c r="A40" s="3">
        <v>33</v>
      </c>
      <c r="B40" s="3" t="s">
        <v>110</v>
      </c>
      <c r="C40" s="4" t="s">
        <v>111</v>
      </c>
      <c r="D40" s="3" t="s">
        <v>364</v>
      </c>
      <c r="E40" s="3"/>
      <c r="F40" s="8">
        <v>42895.333333333299</v>
      </c>
      <c r="G40" s="9">
        <v>42895.708333333299</v>
      </c>
      <c r="H40" s="3" t="s">
        <v>44</v>
      </c>
      <c r="I40" s="4"/>
      <c r="J40" s="10">
        <v>0</v>
      </c>
      <c r="K40" s="11">
        <v>0</v>
      </c>
      <c r="L40" s="10">
        <v>0</v>
      </c>
      <c r="M40" s="11">
        <v>0</v>
      </c>
      <c r="N40" s="10">
        <v>0</v>
      </c>
      <c r="Q40" s="7">
        <v>0.375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baseColWidth="10" defaultColWidth="8.81640625"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29" t="s">
        <v>0</v>
      </c>
      <c r="B1" s="29"/>
      <c r="C1" s="29"/>
      <c r="D1" s="29"/>
      <c r="E1" s="29" t="s">
        <v>13</v>
      </c>
      <c r="F1" s="29"/>
      <c r="G1" s="29" t="s">
        <v>3</v>
      </c>
      <c r="H1" s="29"/>
    </row>
    <row r="2" spans="1:8" ht="25" customHeight="1" x14ac:dyDescent="0.35">
      <c r="A2" s="1" t="s">
        <v>5</v>
      </c>
      <c r="B2" s="1" t="s">
        <v>6</v>
      </c>
      <c r="C2" s="1" t="s">
        <v>112</v>
      </c>
      <c r="D2" s="1" t="s">
        <v>113</v>
      </c>
      <c r="E2" s="1" t="s">
        <v>114</v>
      </c>
      <c r="F2" s="1" t="s">
        <v>115</v>
      </c>
      <c r="G2" s="1" t="s">
        <v>116</v>
      </c>
      <c r="H2" s="1" t="s">
        <v>17</v>
      </c>
    </row>
  </sheetData>
  <mergeCells count="3">
    <mergeCell ref="A1:D1"/>
    <mergeCell ref="E1:F1"/>
    <mergeCell ref="G1:H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7" x14ac:dyDescent="0.35">
      <c r="A1" s="29" t="s">
        <v>0</v>
      </c>
      <c r="B1" s="29"/>
      <c r="C1" s="1" t="s">
        <v>2</v>
      </c>
      <c r="D1" s="29" t="s">
        <v>117</v>
      </c>
      <c r="E1" s="29"/>
      <c r="F1" s="29"/>
      <c r="G1" s="29"/>
    </row>
    <row r="2" spans="1:7" x14ac:dyDescent="0.35">
      <c r="A2" s="1" t="s">
        <v>5</v>
      </c>
      <c r="B2" s="1" t="s">
        <v>6</v>
      </c>
      <c r="C2" s="1" t="s">
        <v>12</v>
      </c>
      <c r="D2" s="1" t="s">
        <v>118</v>
      </c>
      <c r="E2" s="1" t="s">
        <v>119</v>
      </c>
      <c r="F2" s="1" t="s">
        <v>120</v>
      </c>
      <c r="G2" s="1" t="s">
        <v>121</v>
      </c>
    </row>
    <row r="3" spans="1:7" x14ac:dyDescent="0.35">
      <c r="A3" s="2">
        <v>0</v>
      </c>
      <c r="B3" s="3" t="s">
        <v>18</v>
      </c>
      <c r="C3" s="2" t="s">
        <v>122</v>
      </c>
      <c r="D3" s="2"/>
      <c r="E3" s="2"/>
      <c r="F3" s="2"/>
      <c r="G3" s="2"/>
    </row>
    <row r="4" spans="1:7" x14ac:dyDescent="0.35">
      <c r="A4" s="3">
        <v>1</v>
      </c>
      <c r="B4" s="3" t="s">
        <v>21</v>
      </c>
      <c r="C4" s="12" t="s">
        <v>123</v>
      </c>
      <c r="D4" s="4" t="s">
        <v>124</v>
      </c>
      <c r="E4" s="4">
        <v>99</v>
      </c>
      <c r="F4" s="4">
        <v>100</v>
      </c>
      <c r="G4" s="4">
        <v>101</v>
      </c>
    </row>
    <row r="5" spans="1:7" ht="22" x14ac:dyDescent="0.35">
      <c r="A5" s="3">
        <v>2</v>
      </c>
      <c r="B5" s="3" t="s">
        <v>24</v>
      </c>
      <c r="C5" s="12" t="s">
        <v>125</v>
      </c>
      <c r="D5" s="4" t="s">
        <v>124</v>
      </c>
      <c r="E5" s="4">
        <v>99</v>
      </c>
      <c r="F5" s="4">
        <v>100</v>
      </c>
      <c r="G5" s="4">
        <v>101</v>
      </c>
    </row>
    <row r="6" spans="1:7" ht="22" x14ac:dyDescent="0.35">
      <c r="A6" s="3">
        <v>3</v>
      </c>
      <c r="B6" s="3" t="s">
        <v>27</v>
      </c>
      <c r="C6" s="12" t="s">
        <v>126</v>
      </c>
      <c r="D6" s="4" t="s">
        <v>124</v>
      </c>
      <c r="E6" s="4">
        <v>99</v>
      </c>
      <c r="F6" s="4">
        <v>100</v>
      </c>
      <c r="G6" s="4">
        <v>101</v>
      </c>
    </row>
    <row r="7" spans="1:7" ht="22" x14ac:dyDescent="0.35">
      <c r="A7" s="3">
        <v>4</v>
      </c>
      <c r="B7" s="3" t="s">
        <v>30</v>
      </c>
      <c r="C7" s="12" t="s">
        <v>127</v>
      </c>
      <c r="D7" s="4" t="s">
        <v>124</v>
      </c>
      <c r="E7" s="4">
        <v>99</v>
      </c>
      <c r="F7" s="4">
        <v>100</v>
      </c>
      <c r="G7" s="4">
        <v>101</v>
      </c>
    </row>
    <row r="8" spans="1:7" ht="22" x14ac:dyDescent="0.35">
      <c r="A8" s="3">
        <v>5</v>
      </c>
      <c r="B8" s="3" t="s">
        <v>33</v>
      </c>
      <c r="C8" s="12" t="s">
        <v>128</v>
      </c>
      <c r="D8" s="4" t="s">
        <v>124</v>
      </c>
      <c r="E8" s="4">
        <v>99</v>
      </c>
      <c r="F8" s="4">
        <v>100</v>
      </c>
      <c r="G8" s="4">
        <v>101</v>
      </c>
    </row>
    <row r="9" spans="1:7" x14ac:dyDescent="0.35">
      <c r="A9" s="3">
        <v>6</v>
      </c>
      <c r="B9" s="3" t="s">
        <v>36</v>
      </c>
      <c r="C9" s="12" t="s">
        <v>129</v>
      </c>
      <c r="D9" s="4" t="s">
        <v>124</v>
      </c>
      <c r="E9" s="4">
        <v>99</v>
      </c>
      <c r="F9" s="4">
        <v>100</v>
      </c>
      <c r="G9" s="4">
        <v>101</v>
      </c>
    </row>
    <row r="10" spans="1:7" x14ac:dyDescent="0.35">
      <c r="A10" s="3">
        <v>7</v>
      </c>
      <c r="B10" s="3" t="s">
        <v>39</v>
      </c>
      <c r="C10" s="12" t="s">
        <v>130</v>
      </c>
      <c r="D10" s="4" t="s">
        <v>124</v>
      </c>
      <c r="E10" s="4">
        <v>99</v>
      </c>
      <c r="F10" s="4">
        <v>100</v>
      </c>
      <c r="G10" s="4">
        <v>101</v>
      </c>
    </row>
    <row r="11" spans="1:7" x14ac:dyDescent="0.35">
      <c r="A11" s="3">
        <v>8</v>
      </c>
      <c r="B11" s="3" t="s">
        <v>42</v>
      </c>
      <c r="C11" s="12" t="s">
        <v>131</v>
      </c>
      <c r="D11" s="4" t="s">
        <v>124</v>
      </c>
      <c r="E11" s="4">
        <v>99</v>
      </c>
      <c r="F11" s="4">
        <v>100</v>
      </c>
      <c r="G11" s="4">
        <v>101</v>
      </c>
    </row>
    <row r="12" spans="1:7" x14ac:dyDescent="0.35">
      <c r="A12" s="3">
        <v>9</v>
      </c>
      <c r="B12" s="3" t="s">
        <v>45</v>
      </c>
      <c r="C12" s="12" t="s">
        <v>131</v>
      </c>
      <c r="D12" s="4" t="s">
        <v>124</v>
      </c>
      <c r="E12" s="4">
        <v>99</v>
      </c>
      <c r="F12" s="4">
        <v>100</v>
      </c>
      <c r="G12" s="4">
        <v>101</v>
      </c>
    </row>
    <row r="13" spans="1:7" x14ac:dyDescent="0.35">
      <c r="A13" s="3">
        <v>10</v>
      </c>
      <c r="B13" s="3" t="s">
        <v>47</v>
      </c>
      <c r="C13" s="12" t="s">
        <v>132</v>
      </c>
      <c r="D13" s="4" t="s">
        <v>124</v>
      </c>
      <c r="E13" s="4">
        <v>99</v>
      </c>
      <c r="F13" s="4">
        <v>100</v>
      </c>
      <c r="G13" s="4">
        <v>101</v>
      </c>
    </row>
    <row r="14" spans="1:7" x14ac:dyDescent="0.35">
      <c r="A14" s="3">
        <v>11</v>
      </c>
      <c r="B14" s="3" t="s">
        <v>50</v>
      </c>
      <c r="C14" s="12" t="s">
        <v>131</v>
      </c>
      <c r="D14" s="4" t="s">
        <v>124</v>
      </c>
      <c r="E14" s="4">
        <v>99</v>
      </c>
      <c r="F14" s="4">
        <v>100</v>
      </c>
      <c r="G14" s="4">
        <v>101</v>
      </c>
    </row>
    <row r="15" spans="1:7" x14ac:dyDescent="0.35">
      <c r="A15" s="3">
        <v>12</v>
      </c>
      <c r="B15" s="3" t="s">
        <v>52</v>
      </c>
      <c r="C15" s="12" t="s">
        <v>133</v>
      </c>
      <c r="D15" s="4" t="s">
        <v>124</v>
      </c>
      <c r="E15" s="4">
        <v>99</v>
      </c>
      <c r="F15" s="4">
        <v>100</v>
      </c>
      <c r="G15" s="4">
        <v>101</v>
      </c>
    </row>
    <row r="16" spans="1:7" x14ac:dyDescent="0.35">
      <c r="A16" s="3">
        <v>13</v>
      </c>
      <c r="B16" s="3" t="s">
        <v>55</v>
      </c>
      <c r="C16" s="12" t="s">
        <v>130</v>
      </c>
      <c r="D16" s="4" t="s">
        <v>124</v>
      </c>
      <c r="E16" s="4">
        <v>99</v>
      </c>
      <c r="F16" s="4">
        <v>100</v>
      </c>
      <c r="G16" s="4">
        <v>101</v>
      </c>
    </row>
    <row r="17" spans="1:7" x14ac:dyDescent="0.35">
      <c r="A17" s="3">
        <v>14</v>
      </c>
      <c r="B17" s="3" t="s">
        <v>57</v>
      </c>
      <c r="C17" s="12" t="s">
        <v>130</v>
      </c>
      <c r="D17" s="4" t="s">
        <v>124</v>
      </c>
      <c r="E17" s="4">
        <v>99</v>
      </c>
      <c r="F17" s="4">
        <v>100</v>
      </c>
      <c r="G17" s="4">
        <v>101</v>
      </c>
    </row>
    <row r="18" spans="1:7" x14ac:dyDescent="0.35">
      <c r="A18" s="3">
        <v>15</v>
      </c>
      <c r="B18" s="3" t="s">
        <v>59</v>
      </c>
      <c r="C18" s="12" t="s">
        <v>131</v>
      </c>
      <c r="D18" s="4" t="s">
        <v>124</v>
      </c>
      <c r="E18" s="4">
        <v>99</v>
      </c>
      <c r="F18" s="4">
        <v>100</v>
      </c>
      <c r="G18" s="4">
        <v>101</v>
      </c>
    </row>
    <row r="19" spans="1:7" x14ac:dyDescent="0.35">
      <c r="A19" s="3">
        <v>16</v>
      </c>
      <c r="B19" s="3" t="s">
        <v>61</v>
      </c>
      <c r="C19" s="12" t="s">
        <v>131</v>
      </c>
      <c r="D19" s="4" t="s">
        <v>124</v>
      </c>
      <c r="E19" s="4">
        <v>99</v>
      </c>
      <c r="F19" s="4">
        <v>100</v>
      </c>
      <c r="G19" s="4">
        <v>101</v>
      </c>
    </row>
    <row r="20" spans="1:7" x14ac:dyDescent="0.35">
      <c r="A20" s="3">
        <v>17</v>
      </c>
      <c r="B20" s="3" t="s">
        <v>63</v>
      </c>
      <c r="C20" s="12" t="s">
        <v>133</v>
      </c>
      <c r="D20" s="4" t="s">
        <v>124</v>
      </c>
      <c r="E20" s="4">
        <v>99</v>
      </c>
      <c r="F20" s="4">
        <v>100</v>
      </c>
      <c r="G20" s="4">
        <v>101</v>
      </c>
    </row>
    <row r="21" spans="1:7" x14ac:dyDescent="0.35">
      <c r="A21" s="3">
        <v>18</v>
      </c>
      <c r="B21" s="3" t="s">
        <v>65</v>
      </c>
      <c r="C21" s="12" t="s">
        <v>130</v>
      </c>
      <c r="D21" s="4" t="s">
        <v>124</v>
      </c>
      <c r="E21" s="4">
        <v>99</v>
      </c>
      <c r="F21" s="4">
        <v>100</v>
      </c>
      <c r="G21" s="4">
        <v>101</v>
      </c>
    </row>
    <row r="22" spans="1:7" ht="32.5" x14ac:dyDescent="0.35">
      <c r="A22" s="4">
        <v>38</v>
      </c>
      <c r="B22" s="4" t="s">
        <v>67</v>
      </c>
      <c r="C22" s="2" t="s">
        <v>132</v>
      </c>
      <c r="D22" s="2"/>
      <c r="E22" s="2"/>
      <c r="F22" s="2"/>
      <c r="G22" s="2"/>
    </row>
    <row r="23" spans="1:7" ht="22" x14ac:dyDescent="0.35">
      <c r="A23" s="3">
        <v>19</v>
      </c>
      <c r="B23" s="3" t="s">
        <v>69</v>
      </c>
      <c r="C23" s="12" t="s">
        <v>132</v>
      </c>
      <c r="D23" s="4" t="s">
        <v>124</v>
      </c>
      <c r="E23" s="4">
        <v>99</v>
      </c>
      <c r="F23" s="4">
        <v>100</v>
      </c>
      <c r="G23" s="4">
        <v>101</v>
      </c>
    </row>
    <row r="24" spans="1:7" x14ac:dyDescent="0.35">
      <c r="A24" s="4">
        <v>39</v>
      </c>
      <c r="B24" s="4" t="s">
        <v>71</v>
      </c>
      <c r="C24" s="2" t="s">
        <v>134</v>
      </c>
      <c r="D24" s="2"/>
      <c r="E24" s="2"/>
      <c r="F24" s="2"/>
      <c r="G24" s="2"/>
    </row>
    <row r="25" spans="1:7" x14ac:dyDescent="0.35">
      <c r="A25" s="3">
        <v>20</v>
      </c>
      <c r="B25" s="3" t="s">
        <v>74</v>
      </c>
      <c r="C25" s="12" t="s">
        <v>135</v>
      </c>
      <c r="D25" s="4" t="s">
        <v>124</v>
      </c>
      <c r="E25" s="4">
        <v>99</v>
      </c>
      <c r="F25" s="4">
        <v>100</v>
      </c>
      <c r="G25" s="4">
        <v>101</v>
      </c>
    </row>
    <row r="26" spans="1:7" x14ac:dyDescent="0.35">
      <c r="A26" s="3">
        <v>21</v>
      </c>
      <c r="B26" s="3" t="s">
        <v>77</v>
      </c>
      <c r="C26" s="12" t="s">
        <v>130</v>
      </c>
      <c r="D26" s="4" t="s">
        <v>124</v>
      </c>
      <c r="E26" s="4">
        <v>99</v>
      </c>
      <c r="F26" s="4">
        <v>100</v>
      </c>
      <c r="G26" s="4">
        <v>101</v>
      </c>
    </row>
    <row r="27" spans="1:7" x14ac:dyDescent="0.35">
      <c r="A27" s="3">
        <v>22</v>
      </c>
      <c r="B27" s="3" t="s">
        <v>79</v>
      </c>
      <c r="C27" s="12" t="s">
        <v>131</v>
      </c>
      <c r="D27" s="4" t="s">
        <v>124</v>
      </c>
      <c r="E27" s="4">
        <v>99</v>
      </c>
      <c r="F27" s="4">
        <v>100</v>
      </c>
      <c r="G27" s="4">
        <v>101</v>
      </c>
    </row>
    <row r="28" spans="1:7" ht="22" x14ac:dyDescent="0.35">
      <c r="A28" s="4">
        <v>40</v>
      </c>
      <c r="B28" s="4" t="s">
        <v>81</v>
      </c>
      <c r="C28" s="2" t="s">
        <v>136</v>
      </c>
      <c r="D28" s="2"/>
      <c r="E28" s="2"/>
      <c r="F28" s="2"/>
      <c r="G28" s="2"/>
    </row>
    <row r="29" spans="1:7" x14ac:dyDescent="0.35">
      <c r="A29" s="3">
        <v>23</v>
      </c>
      <c r="B29" s="3" t="s">
        <v>84</v>
      </c>
      <c r="C29" s="12" t="s">
        <v>137</v>
      </c>
      <c r="D29" s="4" t="s">
        <v>124</v>
      </c>
      <c r="E29" s="4">
        <v>99</v>
      </c>
      <c r="F29" s="4">
        <v>100</v>
      </c>
      <c r="G29" s="4">
        <v>101</v>
      </c>
    </row>
    <row r="30" spans="1:7" ht="22" x14ac:dyDescent="0.35">
      <c r="A30" s="3">
        <v>24</v>
      </c>
      <c r="B30" s="3" t="s">
        <v>87</v>
      </c>
      <c r="C30" s="12" t="s">
        <v>133</v>
      </c>
      <c r="D30" s="4" t="s">
        <v>124</v>
      </c>
      <c r="E30" s="4">
        <v>99</v>
      </c>
      <c r="F30" s="4">
        <v>100</v>
      </c>
      <c r="G30" s="4">
        <v>101</v>
      </c>
    </row>
    <row r="31" spans="1:7" x14ac:dyDescent="0.35">
      <c r="A31" s="3">
        <v>25</v>
      </c>
      <c r="B31" s="3" t="s">
        <v>77</v>
      </c>
      <c r="C31" s="12" t="s">
        <v>138</v>
      </c>
      <c r="D31" s="4" t="s">
        <v>124</v>
      </c>
      <c r="E31" s="4">
        <v>99</v>
      </c>
      <c r="F31" s="4">
        <v>100</v>
      </c>
      <c r="G31" s="4">
        <v>101</v>
      </c>
    </row>
    <row r="32" spans="1:7" x14ac:dyDescent="0.35">
      <c r="A32" s="3">
        <v>26</v>
      </c>
      <c r="B32" s="3" t="s">
        <v>79</v>
      </c>
      <c r="C32" s="12" t="s">
        <v>131</v>
      </c>
      <c r="D32" s="4" t="s">
        <v>124</v>
      </c>
      <c r="E32" s="4">
        <v>99</v>
      </c>
      <c r="F32" s="4">
        <v>100</v>
      </c>
      <c r="G32" s="4">
        <v>101</v>
      </c>
    </row>
    <row r="33" spans="1:7" ht="22" x14ac:dyDescent="0.35">
      <c r="A33" s="4">
        <v>41</v>
      </c>
      <c r="B33" s="4" t="s">
        <v>92</v>
      </c>
      <c r="C33" s="2" t="s">
        <v>139</v>
      </c>
      <c r="D33" s="2"/>
      <c r="E33" s="2"/>
      <c r="F33" s="2"/>
      <c r="G33" s="2"/>
    </row>
    <row r="34" spans="1:7" x14ac:dyDescent="0.35">
      <c r="A34" s="3">
        <v>27</v>
      </c>
      <c r="B34" s="3" t="s">
        <v>95</v>
      </c>
      <c r="C34" s="12" t="s">
        <v>140</v>
      </c>
      <c r="D34" s="4" t="s">
        <v>124</v>
      </c>
      <c r="E34" s="4">
        <v>99</v>
      </c>
      <c r="F34" s="4">
        <v>100</v>
      </c>
      <c r="G34" s="4">
        <v>101</v>
      </c>
    </row>
    <row r="35" spans="1:7" x14ac:dyDescent="0.35">
      <c r="A35" s="3">
        <v>28</v>
      </c>
      <c r="B35" s="3" t="s">
        <v>98</v>
      </c>
      <c r="C35" s="12" t="s">
        <v>131</v>
      </c>
      <c r="D35" s="4" t="s">
        <v>124</v>
      </c>
      <c r="E35" s="4">
        <v>99</v>
      </c>
      <c r="F35" s="4">
        <v>100</v>
      </c>
      <c r="G35" s="4">
        <v>101</v>
      </c>
    </row>
    <row r="36" spans="1:7" x14ac:dyDescent="0.35">
      <c r="A36" s="3">
        <v>29</v>
      </c>
      <c r="B36" s="3" t="s">
        <v>100</v>
      </c>
      <c r="C36" s="12" t="s">
        <v>141</v>
      </c>
      <c r="D36" s="4" t="s">
        <v>124</v>
      </c>
      <c r="E36" s="4">
        <v>99</v>
      </c>
      <c r="F36" s="4">
        <v>100</v>
      </c>
      <c r="G36" s="4">
        <v>101</v>
      </c>
    </row>
    <row r="37" spans="1:7" x14ac:dyDescent="0.35">
      <c r="A37" s="3">
        <v>30</v>
      </c>
      <c r="B37" s="3" t="s">
        <v>103</v>
      </c>
      <c r="C37" s="12" t="s">
        <v>142</v>
      </c>
      <c r="D37" s="4" t="s">
        <v>124</v>
      </c>
      <c r="E37" s="4">
        <v>99</v>
      </c>
      <c r="F37" s="4">
        <v>100</v>
      </c>
      <c r="G37" s="4">
        <v>101</v>
      </c>
    </row>
    <row r="38" spans="1:7" ht="22" x14ac:dyDescent="0.35">
      <c r="A38" s="3">
        <v>31</v>
      </c>
      <c r="B38" s="3" t="s">
        <v>106</v>
      </c>
      <c r="C38" s="12" t="s">
        <v>143</v>
      </c>
      <c r="D38" s="4" t="s">
        <v>124</v>
      </c>
      <c r="E38" s="4">
        <v>99</v>
      </c>
      <c r="F38" s="4">
        <v>100</v>
      </c>
      <c r="G38" s="4">
        <v>101</v>
      </c>
    </row>
    <row r="39" spans="1:7" x14ac:dyDescent="0.35">
      <c r="A39" s="3">
        <v>32</v>
      </c>
      <c r="B39" s="3" t="s">
        <v>77</v>
      </c>
      <c r="C39" s="12" t="s">
        <v>141</v>
      </c>
      <c r="D39" s="4" t="s">
        <v>124</v>
      </c>
      <c r="E39" s="4">
        <v>99</v>
      </c>
      <c r="F39" s="4">
        <v>100</v>
      </c>
      <c r="G39" s="4">
        <v>101</v>
      </c>
    </row>
    <row r="40" spans="1:7" x14ac:dyDescent="0.35">
      <c r="A40" s="3">
        <v>33</v>
      </c>
      <c r="B40" s="3" t="s">
        <v>110</v>
      </c>
      <c r="C40" s="12" t="s">
        <v>131</v>
      </c>
      <c r="D40" s="4" t="s">
        <v>124</v>
      </c>
      <c r="E40" s="4">
        <v>99</v>
      </c>
      <c r="F40" s="4">
        <v>100</v>
      </c>
      <c r="G40" s="4">
        <v>101</v>
      </c>
    </row>
  </sheetData>
  <mergeCells count="2">
    <mergeCell ref="A1:B1"/>
    <mergeCell ref="D1:G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42401.708333333299</v>
      </c>
      <c r="E1" s="1" t="s">
        <v>145</v>
      </c>
      <c r="F1" s="4" t="s">
        <v>159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160</v>
      </c>
      <c r="N5" s="6"/>
      <c r="O5" s="6"/>
      <c r="P5" s="2"/>
      <c r="Q5" s="6"/>
      <c r="R5" s="6"/>
      <c r="S5" s="6">
        <v>124492.5</v>
      </c>
      <c r="T5" s="6"/>
      <c r="U5" s="13">
        <v>3.9836071267321901E-2</v>
      </c>
      <c r="V5" s="2"/>
      <c r="W5" s="6">
        <v>172050</v>
      </c>
      <c r="X5" s="6">
        <v>36335.714285714297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160</v>
      </c>
      <c r="N7" s="10">
        <v>271428.57142857101</v>
      </c>
      <c r="O7" s="10">
        <v>271428.57142857101</v>
      </c>
      <c r="P7" s="12" t="s">
        <v>160</v>
      </c>
      <c r="Q7" s="10">
        <v>-168986.07142857101</v>
      </c>
      <c r="R7" s="14">
        <v>0</v>
      </c>
      <c r="S7" s="11">
        <v>102442.5</v>
      </c>
      <c r="T7" s="10">
        <v>271428.57142857101</v>
      </c>
      <c r="U7" s="15">
        <v>0.5</v>
      </c>
      <c r="V7" s="12" t="s">
        <v>163</v>
      </c>
      <c r="W7" s="10">
        <v>150000</v>
      </c>
      <c r="X7" s="10">
        <v>14285.714285714301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3"/>
      <c r="M8" s="3" t="s">
        <v>161</v>
      </c>
      <c r="N8" s="10">
        <v>0</v>
      </c>
      <c r="O8" s="10">
        <v>0</v>
      </c>
      <c r="P8" s="12" t="s">
        <v>29</v>
      </c>
      <c r="Q8" s="10">
        <v>0</v>
      </c>
      <c r="R8" s="14">
        <v>0</v>
      </c>
      <c r="S8" s="11">
        <v>0</v>
      </c>
      <c r="T8" s="10">
        <v>0</v>
      </c>
      <c r="U8" s="15">
        <v>0</v>
      </c>
      <c r="V8" s="12" t="s">
        <v>164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3"/>
      <c r="M9" s="3" t="s">
        <v>161</v>
      </c>
      <c r="N9" s="10">
        <v>0</v>
      </c>
      <c r="O9" s="10">
        <v>6400</v>
      </c>
      <c r="P9" s="12" t="s">
        <v>32</v>
      </c>
      <c r="Q9" s="10">
        <v>0</v>
      </c>
      <c r="R9" s="14">
        <v>0</v>
      </c>
      <c r="S9" s="11">
        <v>0</v>
      </c>
      <c r="T9" s="10">
        <v>6400</v>
      </c>
      <c r="U9" s="15">
        <v>0</v>
      </c>
      <c r="V9" s="12" t="s">
        <v>164</v>
      </c>
      <c r="W9" s="10">
        <v>0</v>
      </c>
      <c r="X9" s="10">
        <v>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3"/>
      <c r="M10" s="3" t="s">
        <v>161</v>
      </c>
      <c r="N10" s="10">
        <v>0</v>
      </c>
      <c r="O10" s="10">
        <v>0</v>
      </c>
      <c r="P10" s="12" t="s">
        <v>35</v>
      </c>
      <c r="Q10" s="10">
        <v>0</v>
      </c>
      <c r="R10" s="14">
        <v>0</v>
      </c>
      <c r="S10" s="11">
        <v>0</v>
      </c>
      <c r="T10" s="10">
        <v>0</v>
      </c>
      <c r="U10" s="15">
        <v>0</v>
      </c>
      <c r="V10" s="12" t="s">
        <v>164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3"/>
      <c r="M11" s="3" t="s">
        <v>161</v>
      </c>
      <c r="N11" s="10">
        <v>0</v>
      </c>
      <c r="O11" s="10">
        <v>12000</v>
      </c>
      <c r="P11" s="12" t="s">
        <v>38</v>
      </c>
      <c r="Q11" s="10">
        <v>0</v>
      </c>
      <c r="R11" s="14">
        <v>0</v>
      </c>
      <c r="S11" s="11">
        <v>0</v>
      </c>
      <c r="T11" s="10">
        <v>12000</v>
      </c>
      <c r="U11" s="15">
        <v>0</v>
      </c>
      <c r="V11" s="12" t="s">
        <v>164</v>
      </c>
      <c r="W11" s="10">
        <v>0</v>
      </c>
      <c r="X11" s="10">
        <v>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3"/>
      <c r="M12" s="3" t="s">
        <v>161</v>
      </c>
      <c r="N12" s="10">
        <v>0</v>
      </c>
      <c r="O12" s="10">
        <v>30700</v>
      </c>
      <c r="P12" s="12" t="s">
        <v>41</v>
      </c>
      <c r="Q12" s="10">
        <v>0</v>
      </c>
      <c r="R12" s="14">
        <v>0</v>
      </c>
      <c r="S12" s="11">
        <v>0</v>
      </c>
      <c r="T12" s="10">
        <v>30700</v>
      </c>
      <c r="U12" s="15">
        <v>0</v>
      </c>
      <c r="V12" s="12" t="s">
        <v>164</v>
      </c>
      <c r="W12" s="10">
        <v>0</v>
      </c>
      <c r="X12" s="10">
        <v>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3"/>
      <c r="M13" s="3" t="s">
        <v>161</v>
      </c>
      <c r="N13" s="10">
        <v>0</v>
      </c>
      <c r="O13" s="10">
        <v>0</v>
      </c>
      <c r="P13" s="12" t="s">
        <v>44</v>
      </c>
      <c r="Q13" s="10">
        <v>0</v>
      </c>
      <c r="R13" s="14">
        <v>0</v>
      </c>
      <c r="S13" s="11">
        <v>0</v>
      </c>
      <c r="T13" s="10">
        <v>0</v>
      </c>
      <c r="U13" s="15">
        <v>0</v>
      </c>
      <c r="V13" s="12" t="s">
        <v>164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3"/>
      <c r="M14" s="3" t="s">
        <v>161</v>
      </c>
      <c r="N14" s="10">
        <v>0</v>
      </c>
      <c r="O14" s="10">
        <v>2500</v>
      </c>
      <c r="P14" s="12" t="s">
        <v>44</v>
      </c>
      <c r="Q14" s="10">
        <v>0</v>
      </c>
      <c r="R14" s="14">
        <v>0</v>
      </c>
      <c r="S14" s="11">
        <v>0</v>
      </c>
      <c r="T14" s="10">
        <v>2500</v>
      </c>
      <c r="U14" s="15">
        <v>0</v>
      </c>
      <c r="V14" s="12" t="s">
        <v>164</v>
      </c>
      <c r="W14" s="10">
        <v>0</v>
      </c>
      <c r="X14" s="10">
        <v>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3"/>
      <c r="M15" s="3" t="s">
        <v>161</v>
      </c>
      <c r="N15" s="10">
        <v>0</v>
      </c>
      <c r="O15" s="10">
        <v>0</v>
      </c>
      <c r="P15" s="12" t="s">
        <v>49</v>
      </c>
      <c r="Q15" s="10">
        <v>0</v>
      </c>
      <c r="R15" s="14">
        <v>0</v>
      </c>
      <c r="S15" s="11">
        <v>0</v>
      </c>
      <c r="T15" s="10">
        <v>0</v>
      </c>
      <c r="U15" s="15">
        <v>0</v>
      </c>
      <c r="V15" s="12" t="s">
        <v>164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161</v>
      </c>
      <c r="N16" s="10">
        <v>0</v>
      </c>
      <c r="O16" s="10">
        <v>0</v>
      </c>
      <c r="P16" s="12" t="s">
        <v>44</v>
      </c>
      <c r="Q16" s="10">
        <v>0</v>
      </c>
      <c r="R16" s="14">
        <v>0</v>
      </c>
      <c r="S16" s="11">
        <v>0</v>
      </c>
      <c r="T16" s="10">
        <v>0</v>
      </c>
      <c r="U16" s="15">
        <v>0</v>
      </c>
      <c r="V16" s="12" t="s">
        <v>164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3"/>
      <c r="M17" s="3" t="s">
        <v>161</v>
      </c>
      <c r="N17" s="10">
        <v>0</v>
      </c>
      <c r="O17" s="10">
        <v>3200</v>
      </c>
      <c r="P17" s="12" t="s">
        <v>54</v>
      </c>
      <c r="Q17" s="10">
        <v>0</v>
      </c>
      <c r="R17" s="14">
        <v>0</v>
      </c>
      <c r="S17" s="11">
        <v>0</v>
      </c>
      <c r="T17" s="10">
        <v>3200</v>
      </c>
      <c r="U17" s="15">
        <v>0</v>
      </c>
      <c r="V17" s="12" t="s">
        <v>164</v>
      </c>
      <c r="W17" s="10">
        <v>0</v>
      </c>
      <c r="X17" s="10">
        <v>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161</v>
      </c>
      <c r="N26" s="6"/>
      <c r="O26" s="6"/>
      <c r="P26" s="2"/>
      <c r="Q26" s="6"/>
      <c r="R26" s="6"/>
      <c r="S26" s="6">
        <v>0</v>
      </c>
      <c r="T26" s="6"/>
      <c r="U26" s="13">
        <v>0</v>
      </c>
      <c r="V26" s="2"/>
      <c r="W26" s="6">
        <v>0</v>
      </c>
      <c r="X26" s="6">
        <v>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3"/>
      <c r="M27" s="3" t="s">
        <v>161</v>
      </c>
      <c r="N27" s="10">
        <v>0</v>
      </c>
      <c r="O27" s="10">
        <v>193000</v>
      </c>
      <c r="P27" s="12" t="s">
        <v>76</v>
      </c>
      <c r="Q27" s="10">
        <v>0</v>
      </c>
      <c r="R27" s="14">
        <v>0</v>
      </c>
      <c r="S27" s="11">
        <v>0</v>
      </c>
      <c r="T27" s="10">
        <v>193000</v>
      </c>
      <c r="U27" s="15">
        <v>0</v>
      </c>
      <c r="V27" s="12" t="s">
        <v>164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3"/>
      <c r="M28" s="3" t="s">
        <v>161</v>
      </c>
      <c r="N28" s="10">
        <v>0</v>
      </c>
      <c r="O28" s="10">
        <v>2000</v>
      </c>
      <c r="P28" s="12" t="s">
        <v>41</v>
      </c>
      <c r="Q28" s="10">
        <v>0</v>
      </c>
      <c r="R28" s="14">
        <v>0</v>
      </c>
      <c r="S28" s="11">
        <v>0</v>
      </c>
      <c r="T28" s="10">
        <v>2000</v>
      </c>
      <c r="U28" s="15">
        <v>0</v>
      </c>
      <c r="V28" s="12" t="s">
        <v>164</v>
      </c>
      <c r="W28" s="10">
        <v>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161</v>
      </c>
      <c r="N29" s="10">
        <v>0</v>
      </c>
      <c r="O29" s="10">
        <v>0</v>
      </c>
      <c r="P29" s="12" t="s">
        <v>44</v>
      </c>
      <c r="Q29" s="10">
        <v>0</v>
      </c>
      <c r="R29" s="14">
        <v>0</v>
      </c>
      <c r="S29" s="11">
        <v>0</v>
      </c>
      <c r="T29" s="10">
        <v>0</v>
      </c>
      <c r="U29" s="15">
        <v>0</v>
      </c>
      <c r="V29" s="12" t="s">
        <v>164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42430.708333333299</v>
      </c>
      <c r="E1" s="1" t="s">
        <v>145</v>
      </c>
      <c r="F1" s="4" t="s">
        <v>165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166</v>
      </c>
      <c r="N5" s="6"/>
      <c r="O5" s="6"/>
      <c r="P5" s="2"/>
      <c r="Q5" s="6"/>
      <c r="R5" s="6"/>
      <c r="S5" s="6">
        <v>226935</v>
      </c>
      <c r="T5" s="6"/>
      <c r="U5" s="13">
        <v>7.4566734970305304E-2</v>
      </c>
      <c r="V5" s="2"/>
      <c r="W5" s="6">
        <v>322050</v>
      </c>
      <c r="X5" s="6">
        <v>322050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3"/>
      <c r="M9" s="3" t="s">
        <v>161</v>
      </c>
      <c r="N9" s="10">
        <v>0</v>
      </c>
      <c r="O9" s="10">
        <v>6400</v>
      </c>
      <c r="P9" s="12" t="s">
        <v>32</v>
      </c>
      <c r="Q9" s="10">
        <v>0</v>
      </c>
      <c r="R9" s="14">
        <v>0</v>
      </c>
      <c r="S9" s="11">
        <v>0</v>
      </c>
      <c r="T9" s="10">
        <v>6400</v>
      </c>
      <c r="U9" s="15">
        <v>0</v>
      </c>
      <c r="V9" s="12" t="s">
        <v>164</v>
      </c>
      <c r="W9" s="10">
        <v>0</v>
      </c>
      <c r="X9" s="10">
        <v>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42401.333333333299</v>
      </c>
      <c r="M10" s="3" t="s">
        <v>167</v>
      </c>
      <c r="N10" s="10">
        <v>0</v>
      </c>
      <c r="O10" s="10">
        <v>0</v>
      </c>
      <c r="P10" s="12" t="s">
        <v>167</v>
      </c>
      <c r="Q10" s="10">
        <v>0</v>
      </c>
      <c r="R10" s="14">
        <v>0</v>
      </c>
      <c r="S10" s="11">
        <v>0</v>
      </c>
      <c r="T10" s="10">
        <v>0</v>
      </c>
      <c r="U10" s="15">
        <v>0.5</v>
      </c>
      <c r="V10" s="12" t="s">
        <v>163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3"/>
      <c r="M11" s="3" t="s">
        <v>161</v>
      </c>
      <c r="N11" s="10">
        <v>0</v>
      </c>
      <c r="O11" s="10">
        <v>12000</v>
      </c>
      <c r="P11" s="12" t="s">
        <v>38</v>
      </c>
      <c r="Q11" s="10">
        <v>0</v>
      </c>
      <c r="R11" s="14">
        <v>0</v>
      </c>
      <c r="S11" s="11">
        <v>0</v>
      </c>
      <c r="T11" s="10">
        <v>12000</v>
      </c>
      <c r="U11" s="15">
        <v>0</v>
      </c>
      <c r="V11" s="12" t="s">
        <v>164</v>
      </c>
      <c r="W11" s="10">
        <v>0</v>
      </c>
      <c r="X11" s="10">
        <v>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3"/>
      <c r="M12" s="3" t="s">
        <v>161</v>
      </c>
      <c r="N12" s="10">
        <v>0</v>
      </c>
      <c r="O12" s="10">
        <v>30700</v>
      </c>
      <c r="P12" s="12" t="s">
        <v>41</v>
      </c>
      <c r="Q12" s="10">
        <v>0</v>
      </c>
      <c r="R12" s="14">
        <v>0</v>
      </c>
      <c r="S12" s="11">
        <v>0</v>
      </c>
      <c r="T12" s="10">
        <v>30700</v>
      </c>
      <c r="U12" s="15">
        <v>0</v>
      </c>
      <c r="V12" s="12" t="s">
        <v>164</v>
      </c>
      <c r="W12" s="10">
        <v>0</v>
      </c>
      <c r="X12" s="10">
        <v>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3"/>
      <c r="M13" s="3" t="s">
        <v>161</v>
      </c>
      <c r="N13" s="10">
        <v>0</v>
      </c>
      <c r="O13" s="10">
        <v>0</v>
      </c>
      <c r="P13" s="12" t="s">
        <v>44</v>
      </c>
      <c r="Q13" s="10">
        <v>0</v>
      </c>
      <c r="R13" s="14">
        <v>0</v>
      </c>
      <c r="S13" s="11">
        <v>0</v>
      </c>
      <c r="T13" s="10">
        <v>0</v>
      </c>
      <c r="U13" s="15">
        <v>0</v>
      </c>
      <c r="V13" s="12" t="s">
        <v>164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3"/>
      <c r="M14" s="3" t="s">
        <v>161</v>
      </c>
      <c r="N14" s="10">
        <v>0</v>
      </c>
      <c r="O14" s="10">
        <v>2500</v>
      </c>
      <c r="P14" s="12" t="s">
        <v>44</v>
      </c>
      <c r="Q14" s="10">
        <v>0</v>
      </c>
      <c r="R14" s="14">
        <v>0</v>
      </c>
      <c r="S14" s="11">
        <v>0</v>
      </c>
      <c r="T14" s="10">
        <v>2500</v>
      </c>
      <c r="U14" s="15">
        <v>0</v>
      </c>
      <c r="V14" s="12" t="s">
        <v>164</v>
      </c>
      <c r="W14" s="10">
        <v>0</v>
      </c>
      <c r="X14" s="10">
        <v>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3"/>
      <c r="M15" s="3" t="s">
        <v>161</v>
      </c>
      <c r="N15" s="10">
        <v>0</v>
      </c>
      <c r="O15" s="10">
        <v>0</v>
      </c>
      <c r="P15" s="12" t="s">
        <v>49</v>
      </c>
      <c r="Q15" s="10">
        <v>0</v>
      </c>
      <c r="R15" s="14">
        <v>0</v>
      </c>
      <c r="S15" s="11">
        <v>0</v>
      </c>
      <c r="T15" s="10">
        <v>0</v>
      </c>
      <c r="U15" s="15">
        <v>0</v>
      </c>
      <c r="V15" s="12" t="s">
        <v>164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161</v>
      </c>
      <c r="N16" s="10">
        <v>0</v>
      </c>
      <c r="O16" s="10">
        <v>0</v>
      </c>
      <c r="P16" s="12" t="s">
        <v>44</v>
      </c>
      <c r="Q16" s="10">
        <v>0</v>
      </c>
      <c r="R16" s="14">
        <v>0</v>
      </c>
      <c r="S16" s="11">
        <v>0</v>
      </c>
      <c r="T16" s="10">
        <v>0</v>
      </c>
      <c r="U16" s="15">
        <v>0</v>
      </c>
      <c r="V16" s="12" t="s">
        <v>164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3"/>
      <c r="M17" s="3" t="s">
        <v>161</v>
      </c>
      <c r="N17" s="10">
        <v>0</v>
      </c>
      <c r="O17" s="10">
        <v>3200</v>
      </c>
      <c r="P17" s="12" t="s">
        <v>54</v>
      </c>
      <c r="Q17" s="10">
        <v>0</v>
      </c>
      <c r="R17" s="14">
        <v>0</v>
      </c>
      <c r="S17" s="11">
        <v>0</v>
      </c>
      <c r="T17" s="10">
        <v>3200</v>
      </c>
      <c r="U17" s="15">
        <v>0</v>
      </c>
      <c r="V17" s="12" t="s">
        <v>164</v>
      </c>
      <c r="W17" s="10">
        <v>0</v>
      </c>
      <c r="X17" s="10">
        <v>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161</v>
      </c>
      <c r="N26" s="6"/>
      <c r="O26" s="6"/>
      <c r="P26" s="2"/>
      <c r="Q26" s="6"/>
      <c r="R26" s="6"/>
      <c r="S26" s="6">
        <v>0</v>
      </c>
      <c r="T26" s="6"/>
      <c r="U26" s="13">
        <v>0</v>
      </c>
      <c r="V26" s="2"/>
      <c r="W26" s="6">
        <v>0</v>
      </c>
      <c r="X26" s="6">
        <v>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3"/>
      <c r="M27" s="3" t="s">
        <v>161</v>
      </c>
      <c r="N27" s="10">
        <v>0</v>
      </c>
      <c r="O27" s="10">
        <v>193000</v>
      </c>
      <c r="P27" s="12" t="s">
        <v>76</v>
      </c>
      <c r="Q27" s="10">
        <v>0</v>
      </c>
      <c r="R27" s="14">
        <v>0</v>
      </c>
      <c r="S27" s="11">
        <v>0</v>
      </c>
      <c r="T27" s="10">
        <v>193000</v>
      </c>
      <c r="U27" s="15">
        <v>0</v>
      </c>
      <c r="V27" s="12" t="s">
        <v>164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3"/>
      <c r="M28" s="3" t="s">
        <v>161</v>
      </c>
      <c r="N28" s="10">
        <v>0</v>
      </c>
      <c r="O28" s="10">
        <v>2000</v>
      </c>
      <c r="P28" s="12" t="s">
        <v>41</v>
      </c>
      <c r="Q28" s="10">
        <v>0</v>
      </c>
      <c r="R28" s="14">
        <v>0</v>
      </c>
      <c r="S28" s="11">
        <v>0</v>
      </c>
      <c r="T28" s="10">
        <v>2000</v>
      </c>
      <c r="U28" s="15">
        <v>0</v>
      </c>
      <c r="V28" s="12" t="s">
        <v>164</v>
      </c>
      <c r="W28" s="10">
        <v>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161</v>
      </c>
      <c r="N29" s="10">
        <v>0</v>
      </c>
      <c r="O29" s="10">
        <v>0</v>
      </c>
      <c r="P29" s="12" t="s">
        <v>44</v>
      </c>
      <c r="Q29" s="10">
        <v>0</v>
      </c>
      <c r="R29" s="14">
        <v>0</v>
      </c>
      <c r="S29" s="11">
        <v>0</v>
      </c>
      <c r="T29" s="10">
        <v>0</v>
      </c>
      <c r="U29" s="15">
        <v>0</v>
      </c>
      <c r="V29" s="12" t="s">
        <v>164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42475.708333333299</v>
      </c>
      <c r="E1" s="1" t="s">
        <v>145</v>
      </c>
      <c r="F1" s="4" t="s">
        <v>168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169</v>
      </c>
      <c r="N5" s="6"/>
      <c r="O5" s="6"/>
      <c r="P5" s="2"/>
      <c r="Q5" s="6"/>
      <c r="R5" s="6"/>
      <c r="S5" s="6">
        <v>260220</v>
      </c>
      <c r="T5" s="6"/>
      <c r="U5" s="13">
        <v>8.2381134303476503E-2</v>
      </c>
      <c r="V5" s="2"/>
      <c r="W5" s="6">
        <v>355800</v>
      </c>
      <c r="X5" s="6">
        <v>332450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42401.333333333299</v>
      </c>
      <c r="M10" s="3" t="s">
        <v>76</v>
      </c>
      <c r="N10" s="10">
        <v>0</v>
      </c>
      <c r="O10" s="10">
        <v>0</v>
      </c>
      <c r="P10" s="12" t="s">
        <v>76</v>
      </c>
      <c r="Q10" s="10">
        <v>0</v>
      </c>
      <c r="R10" s="14">
        <v>0</v>
      </c>
      <c r="S10" s="11">
        <v>0</v>
      </c>
      <c r="T10" s="10">
        <v>0</v>
      </c>
      <c r="U10" s="15">
        <v>0.5</v>
      </c>
      <c r="V10" s="12" t="s">
        <v>163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4000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170</v>
      </c>
      <c r="N12" s="10">
        <v>208760</v>
      </c>
      <c r="O12" s="10">
        <v>208760</v>
      </c>
      <c r="P12" s="12" t="s">
        <v>170</v>
      </c>
      <c r="Q12" s="10">
        <v>-192425</v>
      </c>
      <c r="R12" s="14">
        <v>0</v>
      </c>
      <c r="S12" s="11">
        <v>16335</v>
      </c>
      <c r="T12" s="10">
        <v>208760</v>
      </c>
      <c r="U12" s="15">
        <v>0.5</v>
      </c>
      <c r="V12" s="12" t="s">
        <v>163</v>
      </c>
      <c r="W12" s="10">
        <v>15350</v>
      </c>
      <c r="X12" s="10">
        <v>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3"/>
      <c r="M13" s="3" t="s">
        <v>161</v>
      </c>
      <c r="N13" s="10">
        <v>0</v>
      </c>
      <c r="O13" s="10">
        <v>0</v>
      </c>
      <c r="P13" s="12" t="s">
        <v>44</v>
      </c>
      <c r="Q13" s="10">
        <v>0</v>
      </c>
      <c r="R13" s="14">
        <v>0</v>
      </c>
      <c r="S13" s="11">
        <v>0</v>
      </c>
      <c r="T13" s="10">
        <v>0</v>
      </c>
      <c r="U13" s="15">
        <v>0</v>
      </c>
      <c r="V13" s="12" t="s">
        <v>164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3"/>
      <c r="M14" s="3" t="s">
        <v>161</v>
      </c>
      <c r="N14" s="10">
        <v>0</v>
      </c>
      <c r="O14" s="10">
        <v>2500</v>
      </c>
      <c r="P14" s="12" t="s">
        <v>44</v>
      </c>
      <c r="Q14" s="10">
        <v>0</v>
      </c>
      <c r="R14" s="14">
        <v>0</v>
      </c>
      <c r="S14" s="11">
        <v>0</v>
      </c>
      <c r="T14" s="10">
        <v>2500</v>
      </c>
      <c r="U14" s="15">
        <v>0</v>
      </c>
      <c r="V14" s="12" t="s">
        <v>164</v>
      </c>
      <c r="W14" s="10">
        <v>0</v>
      </c>
      <c r="X14" s="10">
        <v>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3"/>
      <c r="M15" s="3" t="s">
        <v>161</v>
      </c>
      <c r="N15" s="10">
        <v>0</v>
      </c>
      <c r="O15" s="10">
        <v>0</v>
      </c>
      <c r="P15" s="12" t="s">
        <v>49</v>
      </c>
      <c r="Q15" s="10">
        <v>0</v>
      </c>
      <c r="R15" s="14">
        <v>0</v>
      </c>
      <c r="S15" s="11">
        <v>0</v>
      </c>
      <c r="T15" s="10">
        <v>0</v>
      </c>
      <c r="U15" s="15">
        <v>0</v>
      </c>
      <c r="V15" s="12" t="s">
        <v>164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161</v>
      </c>
      <c r="N16" s="10">
        <v>0</v>
      </c>
      <c r="O16" s="10">
        <v>0</v>
      </c>
      <c r="P16" s="12" t="s">
        <v>44</v>
      </c>
      <c r="Q16" s="10">
        <v>0</v>
      </c>
      <c r="R16" s="14">
        <v>0</v>
      </c>
      <c r="S16" s="11">
        <v>0</v>
      </c>
      <c r="T16" s="10">
        <v>0</v>
      </c>
      <c r="U16" s="15">
        <v>0</v>
      </c>
      <c r="V16" s="12" t="s">
        <v>164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3"/>
      <c r="M17" s="3" t="s">
        <v>161</v>
      </c>
      <c r="N17" s="10">
        <v>0</v>
      </c>
      <c r="O17" s="10">
        <v>3200</v>
      </c>
      <c r="P17" s="12" t="s">
        <v>54</v>
      </c>
      <c r="Q17" s="10">
        <v>0</v>
      </c>
      <c r="R17" s="14">
        <v>0</v>
      </c>
      <c r="S17" s="11">
        <v>0</v>
      </c>
      <c r="T17" s="10">
        <v>3200</v>
      </c>
      <c r="U17" s="15">
        <v>0</v>
      </c>
      <c r="V17" s="12" t="s">
        <v>164</v>
      </c>
      <c r="W17" s="10">
        <v>0</v>
      </c>
      <c r="X17" s="10">
        <v>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161</v>
      </c>
      <c r="N26" s="6"/>
      <c r="O26" s="6"/>
      <c r="P26" s="2"/>
      <c r="Q26" s="6"/>
      <c r="R26" s="6"/>
      <c r="S26" s="6">
        <v>0</v>
      </c>
      <c r="T26" s="6"/>
      <c r="U26" s="13">
        <v>0</v>
      </c>
      <c r="V26" s="2"/>
      <c r="W26" s="6">
        <v>0</v>
      </c>
      <c r="X26" s="6">
        <v>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3"/>
      <c r="M27" s="3" t="s">
        <v>161</v>
      </c>
      <c r="N27" s="10">
        <v>0</v>
      </c>
      <c r="O27" s="10">
        <v>193000</v>
      </c>
      <c r="P27" s="12" t="s">
        <v>76</v>
      </c>
      <c r="Q27" s="10">
        <v>0</v>
      </c>
      <c r="R27" s="14">
        <v>0</v>
      </c>
      <c r="S27" s="11">
        <v>0</v>
      </c>
      <c r="T27" s="10">
        <v>193000</v>
      </c>
      <c r="U27" s="15">
        <v>0</v>
      </c>
      <c r="V27" s="12" t="s">
        <v>164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3"/>
      <c r="M28" s="3" t="s">
        <v>161</v>
      </c>
      <c r="N28" s="10">
        <v>0</v>
      </c>
      <c r="O28" s="10">
        <v>2000</v>
      </c>
      <c r="P28" s="12" t="s">
        <v>41</v>
      </c>
      <c r="Q28" s="10">
        <v>0</v>
      </c>
      <c r="R28" s="14">
        <v>0</v>
      </c>
      <c r="S28" s="11">
        <v>0</v>
      </c>
      <c r="T28" s="10">
        <v>2000</v>
      </c>
      <c r="U28" s="15">
        <v>0</v>
      </c>
      <c r="V28" s="12" t="s">
        <v>164</v>
      </c>
      <c r="W28" s="10">
        <v>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161</v>
      </c>
      <c r="N29" s="10">
        <v>0</v>
      </c>
      <c r="O29" s="10">
        <v>0</v>
      </c>
      <c r="P29" s="12" t="s">
        <v>44</v>
      </c>
      <c r="Q29" s="10">
        <v>0</v>
      </c>
      <c r="R29" s="14">
        <v>0</v>
      </c>
      <c r="S29" s="11">
        <v>0</v>
      </c>
      <c r="T29" s="10">
        <v>0</v>
      </c>
      <c r="U29" s="15">
        <v>0</v>
      </c>
      <c r="V29" s="12" t="s">
        <v>164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42491.708333333299</v>
      </c>
      <c r="E1" s="1" t="s">
        <v>145</v>
      </c>
      <c r="F1" s="4" t="s">
        <v>171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172</v>
      </c>
      <c r="N5" s="6"/>
      <c r="O5" s="6"/>
      <c r="P5" s="2"/>
      <c r="Q5" s="6"/>
      <c r="R5" s="6"/>
      <c r="S5" s="6">
        <v>276555</v>
      </c>
      <c r="T5" s="6"/>
      <c r="U5" s="13">
        <v>8.5935238889081805E-2</v>
      </c>
      <c r="V5" s="2"/>
      <c r="W5" s="6">
        <v>371150</v>
      </c>
      <c r="X5" s="6">
        <v>337450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44</v>
      </c>
      <c r="N10" s="10">
        <v>0</v>
      </c>
      <c r="O10" s="10">
        <v>0</v>
      </c>
      <c r="P10" s="12" t="s">
        <v>44</v>
      </c>
      <c r="Q10" s="10">
        <v>0</v>
      </c>
      <c r="R10" s="14">
        <v>0</v>
      </c>
      <c r="S10" s="11">
        <v>0</v>
      </c>
      <c r="T10" s="10">
        <v>0</v>
      </c>
      <c r="U10" s="15">
        <v>0.5</v>
      </c>
      <c r="V10" s="12" t="s">
        <v>163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9000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102</v>
      </c>
      <c r="N13" s="10">
        <v>0</v>
      </c>
      <c r="O13" s="10">
        <v>0</v>
      </c>
      <c r="P13" s="12" t="s">
        <v>102</v>
      </c>
      <c r="Q13" s="10">
        <v>0</v>
      </c>
      <c r="R13" s="14">
        <v>0</v>
      </c>
      <c r="S13" s="11">
        <v>0</v>
      </c>
      <c r="T13" s="10">
        <v>0</v>
      </c>
      <c r="U13" s="15">
        <v>0.5</v>
      </c>
      <c r="V13" s="12" t="s">
        <v>163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3"/>
      <c r="M14" s="3" t="s">
        <v>161</v>
      </c>
      <c r="N14" s="10">
        <v>0</v>
      </c>
      <c r="O14" s="10">
        <v>2500</v>
      </c>
      <c r="P14" s="12" t="s">
        <v>44</v>
      </c>
      <c r="Q14" s="10">
        <v>0</v>
      </c>
      <c r="R14" s="14">
        <v>0</v>
      </c>
      <c r="S14" s="11">
        <v>0</v>
      </c>
      <c r="T14" s="10">
        <v>2500</v>
      </c>
      <c r="U14" s="15">
        <v>0</v>
      </c>
      <c r="V14" s="12" t="s">
        <v>164</v>
      </c>
      <c r="W14" s="10">
        <v>0</v>
      </c>
      <c r="X14" s="10">
        <v>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3"/>
      <c r="M15" s="3" t="s">
        <v>161</v>
      </c>
      <c r="N15" s="10">
        <v>0</v>
      </c>
      <c r="O15" s="10">
        <v>0</v>
      </c>
      <c r="P15" s="12" t="s">
        <v>49</v>
      </c>
      <c r="Q15" s="10">
        <v>0</v>
      </c>
      <c r="R15" s="14">
        <v>0</v>
      </c>
      <c r="S15" s="11">
        <v>0</v>
      </c>
      <c r="T15" s="10">
        <v>0</v>
      </c>
      <c r="U15" s="15">
        <v>0</v>
      </c>
      <c r="V15" s="12" t="s">
        <v>164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161</v>
      </c>
      <c r="N16" s="10">
        <v>0</v>
      </c>
      <c r="O16" s="10">
        <v>0</v>
      </c>
      <c r="P16" s="12" t="s">
        <v>44</v>
      </c>
      <c r="Q16" s="10">
        <v>0</v>
      </c>
      <c r="R16" s="14">
        <v>0</v>
      </c>
      <c r="S16" s="11">
        <v>0</v>
      </c>
      <c r="T16" s="10">
        <v>0</v>
      </c>
      <c r="U16" s="15">
        <v>0</v>
      </c>
      <c r="V16" s="12" t="s">
        <v>164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3"/>
      <c r="M17" s="3" t="s">
        <v>161</v>
      </c>
      <c r="N17" s="10">
        <v>0</v>
      </c>
      <c r="O17" s="10">
        <v>3200</v>
      </c>
      <c r="P17" s="12" t="s">
        <v>54</v>
      </c>
      <c r="Q17" s="10">
        <v>0</v>
      </c>
      <c r="R17" s="14">
        <v>0</v>
      </c>
      <c r="S17" s="11">
        <v>0</v>
      </c>
      <c r="T17" s="10">
        <v>3200</v>
      </c>
      <c r="U17" s="15">
        <v>0</v>
      </c>
      <c r="V17" s="12" t="s">
        <v>164</v>
      </c>
      <c r="W17" s="10">
        <v>0</v>
      </c>
      <c r="X17" s="10">
        <v>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161</v>
      </c>
      <c r="N26" s="6"/>
      <c r="O26" s="6"/>
      <c r="P26" s="2"/>
      <c r="Q26" s="6"/>
      <c r="R26" s="6"/>
      <c r="S26" s="6">
        <v>0</v>
      </c>
      <c r="T26" s="6"/>
      <c r="U26" s="13">
        <v>0</v>
      </c>
      <c r="V26" s="2"/>
      <c r="W26" s="6">
        <v>0</v>
      </c>
      <c r="X26" s="6">
        <v>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3"/>
      <c r="M27" s="3" t="s">
        <v>161</v>
      </c>
      <c r="N27" s="10">
        <v>0</v>
      </c>
      <c r="O27" s="10">
        <v>193000</v>
      </c>
      <c r="P27" s="12" t="s">
        <v>76</v>
      </c>
      <c r="Q27" s="10">
        <v>0</v>
      </c>
      <c r="R27" s="14">
        <v>0</v>
      </c>
      <c r="S27" s="11">
        <v>0</v>
      </c>
      <c r="T27" s="10">
        <v>193000</v>
      </c>
      <c r="U27" s="15">
        <v>0</v>
      </c>
      <c r="V27" s="12" t="s">
        <v>164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3"/>
      <c r="M28" s="3" t="s">
        <v>161</v>
      </c>
      <c r="N28" s="10">
        <v>0</v>
      </c>
      <c r="O28" s="10">
        <v>2000</v>
      </c>
      <c r="P28" s="12" t="s">
        <v>41</v>
      </c>
      <c r="Q28" s="10">
        <v>0</v>
      </c>
      <c r="R28" s="14">
        <v>0</v>
      </c>
      <c r="S28" s="11">
        <v>0</v>
      </c>
      <c r="T28" s="10">
        <v>2000</v>
      </c>
      <c r="U28" s="15">
        <v>0</v>
      </c>
      <c r="V28" s="12" t="s">
        <v>164</v>
      </c>
      <c r="W28" s="10">
        <v>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161</v>
      </c>
      <c r="N29" s="10">
        <v>0</v>
      </c>
      <c r="O29" s="10">
        <v>0</v>
      </c>
      <c r="P29" s="12" t="s">
        <v>44</v>
      </c>
      <c r="Q29" s="10">
        <v>0</v>
      </c>
      <c r="R29" s="14">
        <v>0</v>
      </c>
      <c r="S29" s="11">
        <v>0</v>
      </c>
      <c r="T29" s="10">
        <v>0</v>
      </c>
      <c r="U29" s="15">
        <v>0</v>
      </c>
      <c r="V29" s="12" t="s">
        <v>164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42523.708333333299</v>
      </c>
      <c r="E1" s="1" t="s">
        <v>145</v>
      </c>
      <c r="F1" s="4" t="s">
        <v>174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175</v>
      </c>
      <c r="N5" s="6"/>
      <c r="O5" s="6"/>
      <c r="P5" s="2"/>
      <c r="Q5" s="6"/>
      <c r="R5" s="6"/>
      <c r="S5" s="6">
        <v>279055</v>
      </c>
      <c r="T5" s="6"/>
      <c r="U5" s="13">
        <v>8.6514083284131599E-2</v>
      </c>
      <c r="V5" s="2"/>
      <c r="W5" s="6">
        <v>373650</v>
      </c>
      <c r="X5" s="6">
        <v>373650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38</v>
      </c>
      <c r="N10" s="10">
        <v>0</v>
      </c>
      <c r="O10" s="10">
        <v>0</v>
      </c>
      <c r="P10" s="12" t="s">
        <v>38</v>
      </c>
      <c r="Q10" s="10">
        <v>0</v>
      </c>
      <c r="R10" s="14">
        <v>0</v>
      </c>
      <c r="S10" s="11">
        <v>0</v>
      </c>
      <c r="T10" s="10">
        <v>0</v>
      </c>
      <c r="U10" s="15">
        <v>0.5</v>
      </c>
      <c r="V10" s="12" t="s">
        <v>163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177</v>
      </c>
      <c r="N15" s="10">
        <v>0</v>
      </c>
      <c r="O15" s="10">
        <v>0</v>
      </c>
      <c r="P15" s="12" t="s">
        <v>177</v>
      </c>
      <c r="Q15" s="10">
        <v>0</v>
      </c>
      <c r="R15" s="14">
        <v>0</v>
      </c>
      <c r="S15" s="11">
        <v>0</v>
      </c>
      <c r="T15" s="10">
        <v>0</v>
      </c>
      <c r="U15" s="15">
        <v>0.5</v>
      </c>
      <c r="V15" s="12" t="s">
        <v>163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161</v>
      </c>
      <c r="N16" s="10">
        <v>0</v>
      </c>
      <c r="O16" s="10">
        <v>0</v>
      </c>
      <c r="P16" s="12" t="s">
        <v>44</v>
      </c>
      <c r="Q16" s="10">
        <v>0</v>
      </c>
      <c r="R16" s="14">
        <v>0</v>
      </c>
      <c r="S16" s="11">
        <v>0</v>
      </c>
      <c r="T16" s="10">
        <v>0</v>
      </c>
      <c r="U16" s="15">
        <v>0</v>
      </c>
      <c r="V16" s="12" t="s">
        <v>164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3"/>
      <c r="M17" s="3" t="s">
        <v>161</v>
      </c>
      <c r="N17" s="10">
        <v>0</v>
      </c>
      <c r="O17" s="10">
        <v>3200</v>
      </c>
      <c r="P17" s="12" t="s">
        <v>54</v>
      </c>
      <c r="Q17" s="10">
        <v>0</v>
      </c>
      <c r="R17" s="14">
        <v>0</v>
      </c>
      <c r="S17" s="11">
        <v>0</v>
      </c>
      <c r="T17" s="10">
        <v>3200</v>
      </c>
      <c r="U17" s="15">
        <v>0</v>
      </c>
      <c r="V17" s="12" t="s">
        <v>164</v>
      </c>
      <c r="W17" s="10">
        <v>0</v>
      </c>
      <c r="X17" s="10">
        <v>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161</v>
      </c>
      <c r="N26" s="6"/>
      <c r="O26" s="6"/>
      <c r="P26" s="2"/>
      <c r="Q26" s="6"/>
      <c r="R26" s="6"/>
      <c r="S26" s="6">
        <v>0</v>
      </c>
      <c r="T26" s="6"/>
      <c r="U26" s="13">
        <v>0</v>
      </c>
      <c r="V26" s="2"/>
      <c r="W26" s="6">
        <v>0</v>
      </c>
      <c r="X26" s="6">
        <v>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3"/>
      <c r="M27" s="3" t="s">
        <v>161</v>
      </c>
      <c r="N27" s="10">
        <v>0</v>
      </c>
      <c r="O27" s="10">
        <v>193000</v>
      </c>
      <c r="P27" s="12" t="s">
        <v>76</v>
      </c>
      <c r="Q27" s="10">
        <v>0</v>
      </c>
      <c r="R27" s="14">
        <v>0</v>
      </c>
      <c r="S27" s="11">
        <v>0</v>
      </c>
      <c r="T27" s="10">
        <v>193000</v>
      </c>
      <c r="U27" s="15">
        <v>0</v>
      </c>
      <c r="V27" s="12" t="s">
        <v>164</v>
      </c>
      <c r="W27" s="10">
        <v>0</v>
      </c>
      <c r="X27" s="10">
        <v>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3"/>
      <c r="M28" s="3" t="s">
        <v>161</v>
      </c>
      <c r="N28" s="10">
        <v>0</v>
      </c>
      <c r="O28" s="10">
        <v>2000</v>
      </c>
      <c r="P28" s="12" t="s">
        <v>41</v>
      </c>
      <c r="Q28" s="10">
        <v>0</v>
      </c>
      <c r="R28" s="14">
        <v>0</v>
      </c>
      <c r="S28" s="11">
        <v>0</v>
      </c>
      <c r="T28" s="10">
        <v>2000</v>
      </c>
      <c r="U28" s="15">
        <v>0</v>
      </c>
      <c r="V28" s="12" t="s">
        <v>164</v>
      </c>
      <c r="W28" s="10">
        <v>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161</v>
      </c>
      <c r="N29" s="10">
        <v>0</v>
      </c>
      <c r="O29" s="10">
        <v>0</v>
      </c>
      <c r="P29" s="12" t="s">
        <v>44</v>
      </c>
      <c r="Q29" s="10">
        <v>0</v>
      </c>
      <c r="R29" s="14">
        <v>0</v>
      </c>
      <c r="S29" s="11">
        <v>0</v>
      </c>
      <c r="T29" s="10">
        <v>0</v>
      </c>
      <c r="U29" s="15">
        <v>0</v>
      </c>
      <c r="V29" s="12" t="s">
        <v>164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42551.708333333299</v>
      </c>
      <c r="E1" s="1" t="s">
        <v>145</v>
      </c>
      <c r="F1" s="4" t="s">
        <v>178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179</v>
      </c>
      <c r="N5" s="6"/>
      <c r="O5" s="6"/>
      <c r="P5" s="2"/>
      <c r="Q5" s="6"/>
      <c r="R5" s="6"/>
      <c r="S5" s="6">
        <v>386654.38500000001</v>
      </c>
      <c r="T5" s="6"/>
      <c r="U5" s="13">
        <v>0.10885747693305101</v>
      </c>
      <c r="V5" s="2"/>
      <c r="W5" s="6">
        <v>470150</v>
      </c>
      <c r="X5" s="6">
        <v>378450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180</v>
      </c>
      <c r="N15" s="10">
        <v>0</v>
      </c>
      <c r="O15" s="10">
        <v>0</v>
      </c>
      <c r="P15" s="12" t="s">
        <v>180</v>
      </c>
      <c r="Q15" s="10">
        <v>0</v>
      </c>
      <c r="R15" s="14">
        <v>0</v>
      </c>
      <c r="S15" s="11">
        <v>0</v>
      </c>
      <c r="T15" s="10">
        <v>0</v>
      </c>
      <c r="U15" s="15">
        <v>0.5</v>
      </c>
      <c r="V15" s="12" t="s">
        <v>163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3"/>
      <c r="M16" s="3" t="s">
        <v>161</v>
      </c>
      <c r="N16" s="10">
        <v>0</v>
      </c>
      <c r="O16" s="10">
        <v>0</v>
      </c>
      <c r="P16" s="12" t="s">
        <v>44</v>
      </c>
      <c r="Q16" s="10">
        <v>0</v>
      </c>
      <c r="R16" s="14">
        <v>0</v>
      </c>
      <c r="S16" s="11">
        <v>0</v>
      </c>
      <c r="T16" s="10">
        <v>0</v>
      </c>
      <c r="U16" s="15">
        <v>0</v>
      </c>
      <c r="V16" s="12" t="s">
        <v>164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3"/>
      <c r="M17" s="3" t="s">
        <v>161</v>
      </c>
      <c r="N17" s="10">
        <v>0</v>
      </c>
      <c r="O17" s="10">
        <v>3200</v>
      </c>
      <c r="P17" s="12" t="s">
        <v>54</v>
      </c>
      <c r="Q17" s="10">
        <v>0</v>
      </c>
      <c r="R17" s="14">
        <v>0</v>
      </c>
      <c r="S17" s="11">
        <v>0</v>
      </c>
      <c r="T17" s="10">
        <v>3200</v>
      </c>
      <c r="U17" s="15">
        <v>0</v>
      </c>
      <c r="V17" s="12" t="s">
        <v>164</v>
      </c>
      <c r="W17" s="10">
        <v>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26</v>
      </c>
      <c r="N26" s="6"/>
      <c r="O26" s="6"/>
      <c r="P26" s="2"/>
      <c r="Q26" s="6"/>
      <c r="R26" s="6"/>
      <c r="S26" s="6">
        <v>107599.38499999999</v>
      </c>
      <c r="T26" s="6"/>
      <c r="U26" s="13">
        <v>0.494871794871795</v>
      </c>
      <c r="V26" s="2"/>
      <c r="W26" s="6">
        <v>96500</v>
      </c>
      <c r="X26" s="6">
        <v>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26</v>
      </c>
      <c r="N27" s="10">
        <v>73690.909090909103</v>
      </c>
      <c r="O27" s="10">
        <v>73690.909090909103</v>
      </c>
      <c r="P27" s="12" t="s">
        <v>26</v>
      </c>
      <c r="Q27" s="10">
        <v>33908.475909090899</v>
      </c>
      <c r="R27" s="14">
        <v>0</v>
      </c>
      <c r="S27" s="11">
        <v>107599.38499999999</v>
      </c>
      <c r="T27" s="10">
        <v>73690.909090909103</v>
      </c>
      <c r="U27" s="15">
        <v>0.5</v>
      </c>
      <c r="V27" s="12" t="s">
        <v>163</v>
      </c>
      <c r="W27" s="10">
        <v>96500</v>
      </c>
      <c r="X27" s="10">
        <v>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3"/>
      <c r="M28" s="3" t="s">
        <v>161</v>
      </c>
      <c r="N28" s="10">
        <v>0</v>
      </c>
      <c r="O28" s="10">
        <v>2000</v>
      </c>
      <c r="P28" s="12" t="s">
        <v>41</v>
      </c>
      <c r="Q28" s="10">
        <v>0</v>
      </c>
      <c r="R28" s="14">
        <v>0</v>
      </c>
      <c r="S28" s="11">
        <v>0</v>
      </c>
      <c r="T28" s="10">
        <v>2000</v>
      </c>
      <c r="U28" s="15">
        <v>0</v>
      </c>
      <c r="V28" s="12" t="s">
        <v>164</v>
      </c>
      <c r="W28" s="10">
        <v>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161</v>
      </c>
      <c r="N29" s="10">
        <v>0</v>
      </c>
      <c r="O29" s="10">
        <v>0</v>
      </c>
      <c r="P29" s="12" t="s">
        <v>44</v>
      </c>
      <c r="Q29" s="10">
        <v>0</v>
      </c>
      <c r="R29" s="14">
        <v>0</v>
      </c>
      <c r="S29" s="11">
        <v>0</v>
      </c>
      <c r="T29" s="10">
        <v>0</v>
      </c>
      <c r="U29" s="15">
        <v>0</v>
      </c>
      <c r="V29" s="12" t="s">
        <v>164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42566.708333333299</v>
      </c>
      <c r="E1" s="1" t="s">
        <v>145</v>
      </c>
      <c r="F1" s="4" t="s">
        <v>181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182</v>
      </c>
      <c r="N5" s="6"/>
      <c r="O5" s="6"/>
      <c r="P5" s="2"/>
      <c r="Q5" s="6"/>
      <c r="R5" s="6"/>
      <c r="S5" s="6">
        <v>386654.38500000001</v>
      </c>
      <c r="T5" s="6"/>
      <c r="U5" s="13">
        <v>0.10885747693305101</v>
      </c>
      <c r="V5" s="2"/>
      <c r="W5" s="6">
        <v>470150</v>
      </c>
      <c r="X5" s="6">
        <v>378450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3"/>
      <c r="M17" s="3" t="s">
        <v>161</v>
      </c>
      <c r="N17" s="10">
        <v>0</v>
      </c>
      <c r="O17" s="10">
        <v>3200</v>
      </c>
      <c r="P17" s="12" t="s">
        <v>54</v>
      </c>
      <c r="Q17" s="10">
        <v>0</v>
      </c>
      <c r="R17" s="14">
        <v>0</v>
      </c>
      <c r="S17" s="11">
        <v>0</v>
      </c>
      <c r="T17" s="10">
        <v>3200</v>
      </c>
      <c r="U17" s="15">
        <v>0</v>
      </c>
      <c r="V17" s="12" t="s">
        <v>164</v>
      </c>
      <c r="W17" s="10">
        <v>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180</v>
      </c>
      <c r="N26" s="6"/>
      <c r="O26" s="6"/>
      <c r="P26" s="2"/>
      <c r="Q26" s="6"/>
      <c r="R26" s="6"/>
      <c r="S26" s="6">
        <v>107599.38499999999</v>
      </c>
      <c r="T26" s="6"/>
      <c r="U26" s="13">
        <v>0.494871794871795</v>
      </c>
      <c r="V26" s="2"/>
      <c r="W26" s="6">
        <v>96500</v>
      </c>
      <c r="X26" s="6">
        <v>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180</v>
      </c>
      <c r="N27" s="10">
        <v>112290.909090909</v>
      </c>
      <c r="O27" s="10">
        <v>112290.909090909</v>
      </c>
      <c r="P27" s="12" t="s">
        <v>180</v>
      </c>
      <c r="Q27" s="10">
        <v>-4691.5240909090799</v>
      </c>
      <c r="R27" s="14">
        <v>0</v>
      </c>
      <c r="S27" s="11">
        <v>107599.38499999999</v>
      </c>
      <c r="T27" s="10">
        <v>112290.909090909</v>
      </c>
      <c r="U27" s="15">
        <v>0.5</v>
      </c>
      <c r="V27" s="12" t="s">
        <v>163</v>
      </c>
      <c r="W27" s="10">
        <v>96500</v>
      </c>
      <c r="X27" s="10">
        <v>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3"/>
      <c r="M28" s="3" t="s">
        <v>161</v>
      </c>
      <c r="N28" s="10">
        <v>0</v>
      </c>
      <c r="O28" s="10">
        <v>2000</v>
      </c>
      <c r="P28" s="12" t="s">
        <v>41</v>
      </c>
      <c r="Q28" s="10">
        <v>0</v>
      </c>
      <c r="R28" s="14">
        <v>0</v>
      </c>
      <c r="S28" s="11">
        <v>0</v>
      </c>
      <c r="T28" s="10">
        <v>2000</v>
      </c>
      <c r="U28" s="15">
        <v>0</v>
      </c>
      <c r="V28" s="12" t="s">
        <v>164</v>
      </c>
      <c r="W28" s="10">
        <v>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3"/>
      <c r="M29" s="3" t="s">
        <v>161</v>
      </c>
      <c r="N29" s="10">
        <v>0</v>
      </c>
      <c r="O29" s="10">
        <v>0</v>
      </c>
      <c r="P29" s="12" t="s">
        <v>44</v>
      </c>
      <c r="Q29" s="10">
        <v>0</v>
      </c>
      <c r="R29" s="14">
        <v>0</v>
      </c>
      <c r="S29" s="11">
        <v>0</v>
      </c>
      <c r="T29" s="10">
        <v>0</v>
      </c>
      <c r="U29" s="15">
        <v>0</v>
      </c>
      <c r="V29" s="12" t="s">
        <v>164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42620.708333333299</v>
      </c>
      <c r="E1" s="1" t="s">
        <v>145</v>
      </c>
      <c r="F1" s="4" t="s">
        <v>184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185</v>
      </c>
      <c r="N5" s="6"/>
      <c r="O5" s="6"/>
      <c r="P5" s="2"/>
      <c r="Q5" s="6"/>
      <c r="R5" s="6"/>
      <c r="S5" s="6">
        <v>497453.77</v>
      </c>
      <c r="T5" s="6"/>
      <c r="U5" s="13">
        <v>0.13240486692367401</v>
      </c>
      <c r="V5" s="2"/>
      <c r="W5" s="6">
        <v>571850</v>
      </c>
      <c r="X5" s="6">
        <v>635977.27272727306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3"/>
      <c r="M18" s="3" t="s">
        <v>161</v>
      </c>
      <c r="N18" s="10">
        <v>0</v>
      </c>
      <c r="O18" s="10">
        <v>1600</v>
      </c>
      <c r="P18" s="12" t="s">
        <v>41</v>
      </c>
      <c r="Q18" s="10">
        <v>0</v>
      </c>
      <c r="R18" s="14">
        <v>0</v>
      </c>
      <c r="S18" s="11">
        <v>0</v>
      </c>
      <c r="T18" s="10">
        <v>1600</v>
      </c>
      <c r="U18" s="15">
        <v>0</v>
      </c>
      <c r="V18" s="12" t="s">
        <v>164</v>
      </c>
      <c r="W18" s="10">
        <v>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161</v>
      </c>
      <c r="N19" s="10">
        <v>0</v>
      </c>
      <c r="O19" s="10">
        <v>0</v>
      </c>
      <c r="P19" s="12" t="s">
        <v>41</v>
      </c>
      <c r="Q19" s="10">
        <v>0</v>
      </c>
      <c r="R19" s="14">
        <v>0</v>
      </c>
      <c r="S19" s="11">
        <v>0</v>
      </c>
      <c r="T19" s="10">
        <v>0</v>
      </c>
      <c r="U19" s="15">
        <v>0</v>
      </c>
      <c r="V19" s="12" t="s">
        <v>164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82000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82000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10527.272727272701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10527.272727272701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161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3"/>
      <c r="M33" s="3" t="s">
        <v>161</v>
      </c>
      <c r="N33" s="10">
        <v>0</v>
      </c>
      <c r="O33" s="10">
        <v>2000</v>
      </c>
      <c r="P33" s="12" t="s">
        <v>90</v>
      </c>
      <c r="Q33" s="10">
        <v>0</v>
      </c>
      <c r="R33" s="14">
        <v>0</v>
      </c>
      <c r="S33" s="11">
        <v>0</v>
      </c>
      <c r="T33" s="10">
        <v>2000</v>
      </c>
      <c r="U33" s="15">
        <v>0</v>
      </c>
      <c r="V33" s="12" t="s">
        <v>164</v>
      </c>
      <c r="W33" s="10">
        <v>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3"/>
      <c r="M34" s="3" t="s">
        <v>161</v>
      </c>
      <c r="N34" s="10">
        <v>0</v>
      </c>
      <c r="O34" s="10">
        <v>0</v>
      </c>
      <c r="P34" s="12" t="s">
        <v>44</v>
      </c>
      <c r="Q34" s="10">
        <v>0</v>
      </c>
      <c r="R34" s="14">
        <v>0</v>
      </c>
      <c r="S34" s="11">
        <v>0</v>
      </c>
      <c r="T34" s="10">
        <v>0</v>
      </c>
      <c r="U34" s="15">
        <v>0</v>
      </c>
      <c r="V34" s="12" t="s">
        <v>164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42649.708333333299</v>
      </c>
      <c r="E1" s="1" t="s">
        <v>145</v>
      </c>
      <c r="F1" s="4" t="s">
        <v>188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189</v>
      </c>
      <c r="N5" s="6"/>
      <c r="O5" s="6"/>
      <c r="P5" s="2"/>
      <c r="Q5" s="6"/>
      <c r="R5" s="6"/>
      <c r="S5" s="6">
        <v>499053.77</v>
      </c>
      <c r="T5" s="6"/>
      <c r="U5" s="13">
        <v>0.13323840285254501</v>
      </c>
      <c r="V5" s="2"/>
      <c r="W5" s="6">
        <v>575450</v>
      </c>
      <c r="X5" s="6">
        <v>1037668.18181818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161</v>
      </c>
      <c r="N20" s="10">
        <v>0</v>
      </c>
      <c r="O20" s="10">
        <v>0</v>
      </c>
      <c r="P20" s="12" t="s">
        <v>44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164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161</v>
      </c>
      <c r="N21" s="10">
        <v>0</v>
      </c>
      <c r="O21" s="10">
        <v>0</v>
      </c>
      <c r="P21" s="12" t="s">
        <v>44</v>
      </c>
      <c r="Q21" s="10">
        <v>0</v>
      </c>
      <c r="R21" s="14">
        <v>0</v>
      </c>
      <c r="S21" s="11">
        <v>0</v>
      </c>
      <c r="T21" s="10">
        <v>0</v>
      </c>
      <c r="U21" s="15">
        <v>0</v>
      </c>
      <c r="V21" s="12" t="s">
        <v>164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161</v>
      </c>
      <c r="N22" s="10">
        <v>0</v>
      </c>
      <c r="O22" s="10">
        <v>0</v>
      </c>
      <c r="P22" s="12" t="s">
        <v>54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164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84218.181818181794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84218.181818181794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167</v>
      </c>
      <c r="N30" s="6"/>
      <c r="O30" s="6"/>
      <c r="P30" s="2"/>
      <c r="Q30" s="6"/>
      <c r="R30" s="6"/>
      <c r="S30" s="6">
        <v>0</v>
      </c>
      <c r="T30" s="6"/>
      <c r="U30" s="13">
        <v>1.8924459864374701E-3</v>
      </c>
      <c r="V30" s="2"/>
      <c r="W30" s="6">
        <v>2000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42681.708333333299</v>
      </c>
      <c r="E1" s="1" t="s">
        <v>145</v>
      </c>
      <c r="F1" s="4" t="s">
        <v>190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191</v>
      </c>
      <c r="N5" s="6"/>
      <c r="O5" s="6"/>
      <c r="P5" s="2"/>
      <c r="Q5" s="6"/>
      <c r="R5" s="6"/>
      <c r="S5" s="6">
        <v>499053.77</v>
      </c>
      <c r="T5" s="6"/>
      <c r="U5" s="13">
        <v>0.13323840285254501</v>
      </c>
      <c r="V5" s="2"/>
      <c r="W5" s="6">
        <v>575450</v>
      </c>
      <c r="X5" s="6">
        <v>1114868.18181818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192</v>
      </c>
      <c r="N22" s="10">
        <v>0</v>
      </c>
      <c r="O22" s="10">
        <v>0</v>
      </c>
      <c r="P22" s="12" t="s">
        <v>192</v>
      </c>
      <c r="Q22" s="10">
        <v>0</v>
      </c>
      <c r="R22" s="14">
        <v>0</v>
      </c>
      <c r="S22" s="11">
        <v>0</v>
      </c>
      <c r="T22" s="10">
        <v>0</v>
      </c>
      <c r="U22" s="15">
        <v>0.5</v>
      </c>
      <c r="V22" s="12" t="s">
        <v>163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3"/>
      <c r="M23" s="3" t="s">
        <v>161</v>
      </c>
      <c r="N23" s="10">
        <v>0</v>
      </c>
      <c r="O23" s="10">
        <v>165000</v>
      </c>
      <c r="P23" s="12" t="s">
        <v>41</v>
      </c>
      <c r="Q23" s="10">
        <v>0</v>
      </c>
      <c r="R23" s="14">
        <v>0</v>
      </c>
      <c r="S23" s="11">
        <v>0</v>
      </c>
      <c r="T23" s="10">
        <v>165000</v>
      </c>
      <c r="U23" s="15">
        <v>0</v>
      </c>
      <c r="V23" s="12" t="s">
        <v>164</v>
      </c>
      <c r="W23" s="10">
        <v>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161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3"/>
      <c r="M25" s="3" t="s">
        <v>161</v>
      </c>
      <c r="N25" s="10">
        <v>0</v>
      </c>
      <c r="O25" s="10">
        <v>410000</v>
      </c>
      <c r="P25" s="12" t="s">
        <v>49</v>
      </c>
      <c r="Q25" s="10">
        <v>0</v>
      </c>
      <c r="R25" s="14">
        <v>0</v>
      </c>
      <c r="S25" s="11">
        <v>0</v>
      </c>
      <c r="T25" s="10">
        <v>410000</v>
      </c>
      <c r="U25" s="15">
        <v>0</v>
      </c>
      <c r="V25" s="12" t="s">
        <v>164</v>
      </c>
      <c r="W25" s="10">
        <v>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161418.181818182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161418.181818182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173</v>
      </c>
      <c r="N30" s="6"/>
      <c r="O30" s="6"/>
      <c r="P30" s="2"/>
      <c r="Q30" s="6"/>
      <c r="R30" s="6"/>
      <c r="S30" s="6">
        <v>0</v>
      </c>
      <c r="T30" s="6"/>
      <c r="U30" s="13">
        <v>1.8924459864374701E-3</v>
      </c>
      <c r="V30" s="2"/>
      <c r="W30" s="6">
        <v>2000</v>
      </c>
      <c r="X30" s="6">
        <v>0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0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42709.708333333299</v>
      </c>
      <c r="E1" s="1" t="s">
        <v>145</v>
      </c>
      <c r="F1" s="4" t="s">
        <v>193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194</v>
      </c>
      <c r="N5" s="6"/>
      <c r="O5" s="6"/>
      <c r="P5" s="2"/>
      <c r="Q5" s="6"/>
      <c r="R5" s="6"/>
      <c r="S5" s="6">
        <v>905012.64</v>
      </c>
      <c r="T5" s="6"/>
      <c r="U5" s="13">
        <v>0.21890737331990401</v>
      </c>
      <c r="V5" s="2"/>
      <c r="W5" s="6">
        <v>945450</v>
      </c>
      <c r="X5" s="6">
        <v>1350288.7096774201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26</v>
      </c>
      <c r="N24" s="6"/>
      <c r="O24" s="6"/>
      <c r="P24" s="2"/>
      <c r="Q24" s="6"/>
      <c r="R24" s="6"/>
      <c r="S24" s="6">
        <v>215198.77</v>
      </c>
      <c r="T24" s="6"/>
      <c r="U24" s="13">
        <v>0.5</v>
      </c>
      <c r="V24" s="2"/>
      <c r="W24" s="6">
        <v>205000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26</v>
      </c>
      <c r="N25" s="10">
        <v>574000</v>
      </c>
      <c r="O25" s="10">
        <v>574000</v>
      </c>
      <c r="P25" s="12" t="s">
        <v>26</v>
      </c>
      <c r="Q25" s="10">
        <v>-358801.23</v>
      </c>
      <c r="R25" s="14">
        <v>0</v>
      </c>
      <c r="S25" s="11">
        <v>215198.77</v>
      </c>
      <c r="T25" s="10">
        <v>574000</v>
      </c>
      <c r="U25" s="15">
        <v>0.5</v>
      </c>
      <c r="V25" s="12" t="s">
        <v>163</v>
      </c>
      <c r="W25" s="10">
        <v>205000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195</v>
      </c>
      <c r="N30" s="6"/>
      <c r="O30" s="6"/>
      <c r="P30" s="2"/>
      <c r="Q30" s="6"/>
      <c r="R30" s="6"/>
      <c r="S30" s="6">
        <v>0</v>
      </c>
      <c r="T30" s="6"/>
      <c r="U30" s="13">
        <v>1.8924459864374701E-3</v>
      </c>
      <c r="V30" s="2"/>
      <c r="W30" s="6">
        <v>2000</v>
      </c>
      <c r="X30" s="6">
        <v>201838.70967741901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3"/>
      <c r="M31" s="3" t="s">
        <v>161</v>
      </c>
      <c r="N31" s="10">
        <v>0</v>
      </c>
      <c r="O31" s="10">
        <v>1042833.33333333</v>
      </c>
      <c r="P31" s="12" t="s">
        <v>86</v>
      </c>
      <c r="Q31" s="10">
        <v>0</v>
      </c>
      <c r="R31" s="14">
        <v>0</v>
      </c>
      <c r="S31" s="11">
        <v>0</v>
      </c>
      <c r="T31" s="10">
        <v>1042833.33333333</v>
      </c>
      <c r="U31" s="15">
        <v>0</v>
      </c>
      <c r="V31" s="12" t="s">
        <v>164</v>
      </c>
      <c r="W31" s="10">
        <v>0</v>
      </c>
      <c r="X31" s="10">
        <v>201838.70967741901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42736.708333333299</v>
      </c>
      <c r="E1" s="1" t="s">
        <v>145</v>
      </c>
      <c r="F1" s="4" t="s">
        <v>196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197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1991844.6236559099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172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843394.62365591398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32</v>
      </c>
      <c r="N31" s="10">
        <v>672795.698924731</v>
      </c>
      <c r="O31" s="10">
        <v>672795.698924731</v>
      </c>
      <c r="P31" s="12" t="s">
        <v>32</v>
      </c>
      <c r="Q31" s="10">
        <v>-160412.03225806399</v>
      </c>
      <c r="R31" s="14">
        <v>0</v>
      </c>
      <c r="S31" s="11">
        <v>512383.66666666698</v>
      </c>
      <c r="T31" s="10">
        <v>672795.698924731</v>
      </c>
      <c r="U31" s="15">
        <v>0.5</v>
      </c>
      <c r="V31" s="12" t="s">
        <v>163</v>
      </c>
      <c r="W31" s="10">
        <v>521416.66666666698</v>
      </c>
      <c r="X31" s="10">
        <v>840994.62365591398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2400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42767.708333333299</v>
      </c>
      <c r="E1" s="1" t="s">
        <v>145</v>
      </c>
      <c r="F1" s="4" t="s">
        <v>198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199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2254465.15151515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200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183</v>
      </c>
      <c r="N31" s="10">
        <v>1446510.7526881699</v>
      </c>
      <c r="O31" s="10">
        <v>1446510.7526881699</v>
      </c>
      <c r="P31" s="12" t="s">
        <v>183</v>
      </c>
      <c r="Q31" s="10">
        <v>-934127.08602150495</v>
      </c>
      <c r="R31" s="14">
        <v>0</v>
      </c>
      <c r="S31" s="11">
        <v>512383.66666666698</v>
      </c>
      <c r="T31" s="10">
        <v>1446510.7526881699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49181.818181818198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6000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43181.818181818198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42795.708333333299</v>
      </c>
      <c r="E1" s="1" t="s">
        <v>145</v>
      </c>
      <c r="F1" s="4" t="s">
        <v>201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202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2676958.7719298201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203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204</v>
      </c>
      <c r="N31" s="10">
        <v>2119306.4516129</v>
      </c>
      <c r="O31" s="10">
        <v>2119306.4516129</v>
      </c>
      <c r="P31" s="12" t="s">
        <v>204</v>
      </c>
      <c r="Q31" s="10">
        <v>-1606922.78494624</v>
      </c>
      <c r="R31" s="14">
        <v>0</v>
      </c>
      <c r="S31" s="11">
        <v>512383.66666666698</v>
      </c>
      <c r="T31" s="10">
        <v>2119306.4516129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471675.438596491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364675.438596491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42826.708333333299</v>
      </c>
      <c r="E1" s="1" t="s">
        <v>145</v>
      </c>
      <c r="F1" s="4" t="s">
        <v>205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206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3250020.1754386001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207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208</v>
      </c>
      <c r="N31" s="10">
        <v>2859381.7204301101</v>
      </c>
      <c r="O31" s="10">
        <v>2859381.7204301101</v>
      </c>
      <c r="P31" s="12" t="s">
        <v>208</v>
      </c>
      <c r="Q31" s="10">
        <v>-2346998.0537634399</v>
      </c>
      <c r="R31" s="14">
        <v>0</v>
      </c>
      <c r="S31" s="11">
        <v>512383.66666666698</v>
      </c>
      <c r="T31" s="10">
        <v>2859381.7204301101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1044736.84210526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937736.84210526303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42856.708333333299</v>
      </c>
      <c r="E1" s="1" t="s">
        <v>145</v>
      </c>
      <c r="F1" s="4" t="s">
        <v>209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210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3797033.3333333302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211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212</v>
      </c>
      <c r="N31" s="10">
        <v>3464897.8494623699</v>
      </c>
      <c r="O31" s="10">
        <v>3464897.8494623699</v>
      </c>
      <c r="P31" s="12" t="s">
        <v>212</v>
      </c>
      <c r="Q31" s="10">
        <v>-2952514.1827957002</v>
      </c>
      <c r="R31" s="14">
        <v>0</v>
      </c>
      <c r="S31" s="11">
        <v>512383.66666666698</v>
      </c>
      <c r="T31" s="10">
        <v>3464897.8494623699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1591750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1484750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42887.708333333299</v>
      </c>
      <c r="E1" s="1" t="s">
        <v>145</v>
      </c>
      <c r="F1" s="4" t="s">
        <v>213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214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4317859.0909090899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215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216</v>
      </c>
      <c r="N31" s="10">
        <v>4339532.2580645196</v>
      </c>
      <c r="O31" s="10">
        <v>4339532.2580645196</v>
      </c>
      <c r="P31" s="12" t="s">
        <v>216</v>
      </c>
      <c r="Q31" s="10">
        <v>-3827148.5913978498</v>
      </c>
      <c r="R31" s="14">
        <v>0</v>
      </c>
      <c r="S31" s="11">
        <v>512383.66666666698</v>
      </c>
      <c r="T31" s="10">
        <v>4339532.2580645196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2112575.7575757601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909.09090909090901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42917.708333333299</v>
      </c>
      <c r="E1" s="1" t="s">
        <v>145</v>
      </c>
      <c r="F1" s="4" t="s">
        <v>217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218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4318950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219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220</v>
      </c>
      <c r="N31" s="10">
        <v>5045967.7419354804</v>
      </c>
      <c r="O31" s="10">
        <v>5045967.7419354804</v>
      </c>
      <c r="P31" s="12" t="s">
        <v>220</v>
      </c>
      <c r="Q31" s="10">
        <v>-4533584.0752688199</v>
      </c>
      <c r="R31" s="14">
        <v>0</v>
      </c>
      <c r="S31" s="11">
        <v>512383.66666666698</v>
      </c>
      <c r="T31" s="10">
        <v>5045967.7419354804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2113666.6666666698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2000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42948.708333333299</v>
      </c>
      <c r="E1" s="1" t="s">
        <v>145</v>
      </c>
      <c r="F1" s="4" t="s">
        <v>221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222</v>
      </c>
      <c r="N5" s="6"/>
      <c r="O5" s="6"/>
      <c r="P5" s="2"/>
      <c r="Q5" s="6"/>
      <c r="R5" s="6"/>
      <c r="S5" s="6">
        <v>1632595.0766666699</v>
      </c>
      <c r="T5" s="6"/>
      <c r="U5" s="13">
        <v>0.38710025970818501</v>
      </c>
      <c r="V5" s="2"/>
      <c r="W5" s="6">
        <v>1671866.66666667</v>
      </c>
      <c r="X5" s="6">
        <v>4318950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223</v>
      </c>
      <c r="N30" s="6"/>
      <c r="O30" s="6"/>
      <c r="P30" s="2"/>
      <c r="Q30" s="6"/>
      <c r="R30" s="6"/>
      <c r="S30" s="6">
        <v>512383.66666666698</v>
      </c>
      <c r="T30" s="6"/>
      <c r="U30" s="13">
        <v>0.49526888503390598</v>
      </c>
      <c r="V30" s="2"/>
      <c r="W30" s="6">
        <v>523416.66666666698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224</v>
      </c>
      <c r="N31" s="10">
        <v>5786043.01075269</v>
      </c>
      <c r="O31" s="10">
        <v>5786043.01075269</v>
      </c>
      <c r="P31" s="12" t="s">
        <v>224</v>
      </c>
      <c r="Q31" s="10">
        <v>-5273659.3440860203</v>
      </c>
      <c r="R31" s="14">
        <v>0</v>
      </c>
      <c r="S31" s="11">
        <v>512383.66666666698</v>
      </c>
      <c r="T31" s="10">
        <v>5786043.01075269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3"/>
      <c r="M32" s="3" t="s">
        <v>161</v>
      </c>
      <c r="N32" s="10">
        <v>0</v>
      </c>
      <c r="O32" s="10">
        <v>12000</v>
      </c>
      <c r="P32" s="12" t="s">
        <v>54</v>
      </c>
      <c r="Q32" s="10">
        <v>0</v>
      </c>
      <c r="R32" s="14">
        <v>0</v>
      </c>
      <c r="S32" s="11">
        <v>0</v>
      </c>
      <c r="T32" s="10">
        <v>12000</v>
      </c>
      <c r="U32" s="15">
        <v>0</v>
      </c>
      <c r="V32" s="12" t="s">
        <v>164</v>
      </c>
      <c r="W32" s="10">
        <v>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2113666.6666666698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2000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42979.708333333299</v>
      </c>
      <c r="E1" s="1" t="s">
        <v>145</v>
      </c>
      <c r="F1" s="4" t="s">
        <v>225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226</v>
      </c>
      <c r="N5" s="6"/>
      <c r="O5" s="6"/>
      <c r="P5" s="2"/>
      <c r="Q5" s="6"/>
      <c r="R5" s="6"/>
      <c r="S5" s="6">
        <v>1638935.0766666699</v>
      </c>
      <c r="T5" s="6"/>
      <c r="U5" s="13">
        <v>0.38848948625630503</v>
      </c>
      <c r="V5" s="2"/>
      <c r="W5" s="6">
        <v>1677866.66666667</v>
      </c>
      <c r="X5" s="6">
        <v>4318950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197</v>
      </c>
      <c r="N30" s="6"/>
      <c r="O30" s="6"/>
      <c r="P30" s="2"/>
      <c r="Q30" s="6"/>
      <c r="R30" s="6"/>
      <c r="S30" s="6">
        <v>518723.66666666698</v>
      </c>
      <c r="T30" s="6"/>
      <c r="U30" s="13">
        <v>0.500946222993219</v>
      </c>
      <c r="V30" s="2"/>
      <c r="W30" s="6">
        <v>529416.66666666698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227</v>
      </c>
      <c r="N31" s="10">
        <v>6559758.0645161299</v>
      </c>
      <c r="O31" s="10">
        <v>6559758.0645161299</v>
      </c>
      <c r="P31" s="12" t="s">
        <v>227</v>
      </c>
      <c r="Q31" s="10">
        <v>-6047374.3978494601</v>
      </c>
      <c r="R31" s="14">
        <v>0</v>
      </c>
      <c r="S31" s="11">
        <v>512383.66666666698</v>
      </c>
      <c r="T31" s="10">
        <v>6559758.0645161299</v>
      </c>
      <c r="U31" s="15">
        <v>0.5</v>
      </c>
      <c r="V31" s="12" t="s">
        <v>163</v>
      </c>
      <c r="W31" s="10">
        <v>521416.66666666698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8">
        <v>42948.333333333299</v>
      </c>
      <c r="M32" s="3" t="s">
        <v>228</v>
      </c>
      <c r="N32" s="10">
        <v>2400</v>
      </c>
      <c r="O32" s="10">
        <v>2400</v>
      </c>
      <c r="P32" s="12" t="s">
        <v>228</v>
      </c>
      <c r="Q32" s="10">
        <v>3940</v>
      </c>
      <c r="R32" s="14">
        <v>0</v>
      </c>
      <c r="S32" s="11">
        <v>6340</v>
      </c>
      <c r="T32" s="10">
        <v>2400</v>
      </c>
      <c r="U32" s="15">
        <v>0.5</v>
      </c>
      <c r="V32" s="12" t="s">
        <v>163</v>
      </c>
      <c r="W32" s="10">
        <v>6000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2113666.6666666698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2000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43009.708333333299</v>
      </c>
      <c r="E1" s="1" t="s">
        <v>145</v>
      </c>
      <c r="F1" s="4" t="s">
        <v>229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230</v>
      </c>
      <c r="N5" s="6"/>
      <c r="O5" s="6"/>
      <c r="P5" s="2"/>
      <c r="Q5" s="6"/>
      <c r="R5" s="6"/>
      <c r="S5" s="6">
        <v>2157658.7433333299</v>
      </c>
      <c r="T5" s="6"/>
      <c r="U5" s="13">
        <v>0.51060635879862803</v>
      </c>
      <c r="V5" s="2"/>
      <c r="W5" s="6">
        <v>2205283.3333333302</v>
      </c>
      <c r="X5" s="6">
        <v>4318950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231</v>
      </c>
      <c r="N30" s="6"/>
      <c r="O30" s="6"/>
      <c r="P30" s="2"/>
      <c r="Q30" s="6"/>
      <c r="R30" s="6"/>
      <c r="S30" s="6">
        <v>1037447.33333333</v>
      </c>
      <c r="T30" s="6"/>
      <c r="U30" s="13">
        <v>1</v>
      </c>
      <c r="V30" s="2"/>
      <c r="W30" s="6">
        <v>1056833.33333333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232</v>
      </c>
      <c r="N31" s="10">
        <v>7232553.7634408604</v>
      </c>
      <c r="O31" s="10">
        <v>0</v>
      </c>
      <c r="P31" s="12" t="s">
        <v>161</v>
      </c>
      <c r="Q31" s="10">
        <v>-6207786.4301075302</v>
      </c>
      <c r="R31" s="14">
        <v>0</v>
      </c>
      <c r="S31" s="11">
        <v>1024767.33333333</v>
      </c>
      <c r="T31" s="10">
        <v>0</v>
      </c>
      <c r="U31" s="15">
        <v>1</v>
      </c>
      <c r="V31" s="12" t="s">
        <v>162</v>
      </c>
      <c r="W31" s="10">
        <v>1042833.33333333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8">
        <v>42948.333333333299</v>
      </c>
      <c r="M32" s="3" t="s">
        <v>173</v>
      </c>
      <c r="N32" s="10">
        <v>52800</v>
      </c>
      <c r="O32" s="10">
        <v>0</v>
      </c>
      <c r="P32" s="12" t="s">
        <v>161</v>
      </c>
      <c r="Q32" s="10">
        <v>-40120</v>
      </c>
      <c r="R32" s="14">
        <v>0</v>
      </c>
      <c r="S32" s="11">
        <v>12680</v>
      </c>
      <c r="T32" s="10">
        <v>0</v>
      </c>
      <c r="U32" s="15">
        <v>1</v>
      </c>
      <c r="V32" s="12" t="s">
        <v>162</v>
      </c>
      <c r="W32" s="10">
        <v>12000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161</v>
      </c>
      <c r="N35" s="6"/>
      <c r="O35" s="6"/>
      <c r="P35" s="2"/>
      <c r="Q35" s="6"/>
      <c r="R35" s="6"/>
      <c r="S35" s="6">
        <v>0</v>
      </c>
      <c r="T35" s="6"/>
      <c r="U35" s="13">
        <v>0</v>
      </c>
      <c r="V35" s="2"/>
      <c r="W35" s="6">
        <v>0</v>
      </c>
      <c r="X35" s="6">
        <v>2113666.6666666698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3"/>
      <c r="M36" s="3" t="s">
        <v>161</v>
      </c>
      <c r="N36" s="10">
        <v>0</v>
      </c>
      <c r="O36" s="10">
        <v>12000</v>
      </c>
      <c r="P36" s="12" t="s">
        <v>97</v>
      </c>
      <c r="Q36" s="10">
        <v>0</v>
      </c>
      <c r="R36" s="14">
        <v>0</v>
      </c>
      <c r="S36" s="11">
        <v>0</v>
      </c>
      <c r="T36" s="10">
        <v>12000</v>
      </c>
      <c r="U36" s="15">
        <v>0</v>
      </c>
      <c r="V36" s="12" t="s">
        <v>164</v>
      </c>
      <c r="W36" s="10">
        <v>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3"/>
      <c r="M38" s="3" t="s">
        <v>161</v>
      </c>
      <c r="N38" s="10">
        <v>0</v>
      </c>
      <c r="O38" s="10">
        <v>95000</v>
      </c>
      <c r="P38" s="12" t="s">
        <v>102</v>
      </c>
      <c r="Q38" s="10">
        <v>0</v>
      </c>
      <c r="R38" s="14">
        <v>0</v>
      </c>
      <c r="S38" s="11">
        <v>0</v>
      </c>
      <c r="T38" s="10">
        <v>95000</v>
      </c>
      <c r="U38" s="15">
        <v>0</v>
      </c>
      <c r="V38" s="12" t="s">
        <v>164</v>
      </c>
      <c r="W38" s="10">
        <v>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3"/>
      <c r="M39" s="3" t="s">
        <v>161</v>
      </c>
      <c r="N39" s="10">
        <v>0</v>
      </c>
      <c r="O39" s="10">
        <v>1979666.66666667</v>
      </c>
      <c r="P39" s="12" t="s">
        <v>105</v>
      </c>
      <c r="Q39" s="10">
        <v>0</v>
      </c>
      <c r="R39" s="14">
        <v>0</v>
      </c>
      <c r="S39" s="11">
        <v>0</v>
      </c>
      <c r="T39" s="10">
        <v>1979666.66666667</v>
      </c>
      <c r="U39" s="15">
        <v>0</v>
      </c>
      <c r="V39" s="12" t="s">
        <v>164</v>
      </c>
      <c r="W39" s="10">
        <v>0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2000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43040.708333333299</v>
      </c>
      <c r="E1" s="1" t="s">
        <v>145</v>
      </c>
      <c r="F1" s="4" t="s">
        <v>233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234</v>
      </c>
      <c r="N5" s="6"/>
      <c r="O5" s="6"/>
      <c r="P5" s="2"/>
      <c r="Q5" s="6"/>
      <c r="R5" s="6"/>
      <c r="S5" s="6">
        <v>3230856.0766666699</v>
      </c>
      <c r="T5" s="6"/>
      <c r="U5" s="13">
        <v>0.76317546317199003</v>
      </c>
      <c r="V5" s="2"/>
      <c r="W5" s="6">
        <v>3296116.6666666698</v>
      </c>
      <c r="X5" s="6">
        <v>4318950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231</v>
      </c>
      <c r="N30" s="6"/>
      <c r="O30" s="6"/>
      <c r="P30" s="2"/>
      <c r="Q30" s="6"/>
      <c r="R30" s="6"/>
      <c r="S30" s="6">
        <v>1037447.33333333</v>
      </c>
      <c r="T30" s="6"/>
      <c r="U30" s="13">
        <v>1</v>
      </c>
      <c r="V30" s="2"/>
      <c r="W30" s="6">
        <v>1056833.33333333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232</v>
      </c>
      <c r="N31" s="10">
        <v>7232553.7634408604</v>
      </c>
      <c r="O31" s="10">
        <v>0</v>
      </c>
      <c r="P31" s="12" t="s">
        <v>161</v>
      </c>
      <c r="Q31" s="10">
        <v>-6207786.4301075302</v>
      </c>
      <c r="R31" s="14">
        <v>0</v>
      </c>
      <c r="S31" s="11">
        <v>1024767.33333333</v>
      </c>
      <c r="T31" s="10">
        <v>0</v>
      </c>
      <c r="U31" s="15">
        <v>1</v>
      </c>
      <c r="V31" s="12" t="s">
        <v>162</v>
      </c>
      <c r="W31" s="10">
        <v>1042833.33333333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8">
        <v>42948.333333333299</v>
      </c>
      <c r="M32" s="3" t="s">
        <v>173</v>
      </c>
      <c r="N32" s="10">
        <v>52800</v>
      </c>
      <c r="O32" s="10">
        <v>0</v>
      </c>
      <c r="P32" s="12" t="s">
        <v>161</v>
      </c>
      <c r="Q32" s="10">
        <v>-40120</v>
      </c>
      <c r="R32" s="14">
        <v>0</v>
      </c>
      <c r="S32" s="11">
        <v>12680</v>
      </c>
      <c r="T32" s="10">
        <v>0</v>
      </c>
      <c r="U32" s="15">
        <v>1</v>
      </c>
      <c r="V32" s="12" t="s">
        <v>162</v>
      </c>
      <c r="W32" s="10">
        <v>12000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192</v>
      </c>
      <c r="N35" s="6"/>
      <c r="O35" s="6"/>
      <c r="P35" s="2"/>
      <c r="Q35" s="6"/>
      <c r="R35" s="6"/>
      <c r="S35" s="6">
        <v>1073197.33333333</v>
      </c>
      <c r="T35" s="6"/>
      <c r="U35" s="13">
        <v>0.51608579088471895</v>
      </c>
      <c r="V35" s="2"/>
      <c r="W35" s="6">
        <v>1090833.33333333</v>
      </c>
      <c r="X35" s="6">
        <v>2113666.6666666698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8">
        <v>43009.333333333299</v>
      </c>
      <c r="M36" s="3" t="s">
        <v>192</v>
      </c>
      <c r="N36" s="10">
        <v>19714.285714285699</v>
      </c>
      <c r="O36" s="10">
        <v>19714.285714285699</v>
      </c>
      <c r="P36" s="12" t="s">
        <v>192</v>
      </c>
      <c r="Q36" s="10">
        <v>-14220.785714285699</v>
      </c>
      <c r="R36" s="14">
        <v>0</v>
      </c>
      <c r="S36" s="11">
        <v>5493.5</v>
      </c>
      <c r="T36" s="10">
        <v>19714.285714285699</v>
      </c>
      <c r="U36" s="15">
        <v>0.5</v>
      </c>
      <c r="V36" s="12" t="s">
        <v>163</v>
      </c>
      <c r="W36" s="10">
        <v>6000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3"/>
      <c r="M37" s="3" t="s">
        <v>161</v>
      </c>
      <c r="N37" s="10">
        <v>0</v>
      </c>
      <c r="O37" s="10">
        <v>0</v>
      </c>
      <c r="P37" s="12" t="s">
        <v>44</v>
      </c>
      <c r="Q37" s="10">
        <v>0</v>
      </c>
      <c r="R37" s="14">
        <v>0</v>
      </c>
      <c r="S37" s="11">
        <v>0</v>
      </c>
      <c r="T37" s="10">
        <v>0</v>
      </c>
      <c r="U37" s="15">
        <v>0</v>
      </c>
      <c r="V37" s="12" t="s">
        <v>164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8">
        <v>43009.333333333299</v>
      </c>
      <c r="M38" s="3" t="s">
        <v>192</v>
      </c>
      <c r="N38" s="10">
        <v>198636.363636364</v>
      </c>
      <c r="O38" s="10">
        <v>0</v>
      </c>
      <c r="P38" s="12" t="s">
        <v>161</v>
      </c>
      <c r="Q38" s="10">
        <v>-108636.363636364</v>
      </c>
      <c r="R38" s="14">
        <v>0</v>
      </c>
      <c r="S38" s="11">
        <v>90000</v>
      </c>
      <c r="T38" s="10">
        <v>0</v>
      </c>
      <c r="U38" s="15">
        <v>1</v>
      </c>
      <c r="V38" s="12" t="s">
        <v>162</v>
      </c>
      <c r="W38" s="10">
        <v>95000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8">
        <v>43009.333333333299</v>
      </c>
      <c r="M39" s="3" t="s">
        <v>192</v>
      </c>
      <c r="N39" s="10">
        <v>599109.64912280696</v>
      </c>
      <c r="O39" s="10">
        <v>599109.64912280696</v>
      </c>
      <c r="P39" s="12" t="s">
        <v>192</v>
      </c>
      <c r="Q39" s="10">
        <v>378594.184210526</v>
      </c>
      <c r="R39" s="14">
        <v>0</v>
      </c>
      <c r="S39" s="11">
        <v>977703.83333333302</v>
      </c>
      <c r="T39" s="10">
        <v>599109.64912280696</v>
      </c>
      <c r="U39" s="15">
        <v>0.5</v>
      </c>
      <c r="V39" s="12" t="s">
        <v>163</v>
      </c>
      <c r="W39" s="10">
        <v>989833.33333333302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2000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43070.708333333299</v>
      </c>
      <c r="E1" s="1" t="s">
        <v>145</v>
      </c>
      <c r="F1" s="4" t="s">
        <v>235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236</v>
      </c>
      <c r="N5" s="6"/>
      <c r="O5" s="6"/>
      <c r="P5" s="2"/>
      <c r="Q5" s="6"/>
      <c r="R5" s="6"/>
      <c r="S5" s="6">
        <v>3236349.5766666699</v>
      </c>
      <c r="T5" s="6"/>
      <c r="U5" s="13">
        <v>0.76456468972010905</v>
      </c>
      <c r="V5" s="2"/>
      <c r="W5" s="6">
        <v>3302116.6666666698</v>
      </c>
      <c r="X5" s="6">
        <v>4318950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231</v>
      </c>
      <c r="N30" s="6"/>
      <c r="O30" s="6"/>
      <c r="P30" s="2"/>
      <c r="Q30" s="6"/>
      <c r="R30" s="6"/>
      <c r="S30" s="6">
        <v>1037447.33333333</v>
      </c>
      <c r="T30" s="6"/>
      <c r="U30" s="13">
        <v>1</v>
      </c>
      <c r="V30" s="2"/>
      <c r="W30" s="6">
        <v>1056833.33333333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232</v>
      </c>
      <c r="N31" s="10">
        <v>7232553.7634408604</v>
      </c>
      <c r="O31" s="10">
        <v>0</v>
      </c>
      <c r="P31" s="12" t="s">
        <v>161</v>
      </c>
      <c r="Q31" s="10">
        <v>-6207786.4301075302</v>
      </c>
      <c r="R31" s="14">
        <v>0</v>
      </c>
      <c r="S31" s="11">
        <v>1024767.33333333</v>
      </c>
      <c r="T31" s="10">
        <v>0</v>
      </c>
      <c r="U31" s="15">
        <v>1</v>
      </c>
      <c r="V31" s="12" t="s">
        <v>162</v>
      </c>
      <c r="W31" s="10">
        <v>1042833.33333333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8">
        <v>42948.333333333299</v>
      </c>
      <c r="M32" s="3" t="s">
        <v>173</v>
      </c>
      <c r="N32" s="10">
        <v>52800</v>
      </c>
      <c r="O32" s="10">
        <v>0</v>
      </c>
      <c r="P32" s="12" t="s">
        <v>161</v>
      </c>
      <c r="Q32" s="10">
        <v>-40120</v>
      </c>
      <c r="R32" s="14">
        <v>0</v>
      </c>
      <c r="S32" s="11">
        <v>12680</v>
      </c>
      <c r="T32" s="10">
        <v>0</v>
      </c>
      <c r="U32" s="15">
        <v>1</v>
      </c>
      <c r="V32" s="12" t="s">
        <v>162</v>
      </c>
      <c r="W32" s="10">
        <v>12000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237</v>
      </c>
      <c r="N35" s="6"/>
      <c r="O35" s="6"/>
      <c r="P35" s="2"/>
      <c r="Q35" s="6"/>
      <c r="R35" s="6"/>
      <c r="S35" s="6">
        <v>1078690.83333333</v>
      </c>
      <c r="T35" s="6"/>
      <c r="U35" s="13">
        <v>0.51892445986437497</v>
      </c>
      <c r="V35" s="2"/>
      <c r="W35" s="6">
        <v>1096833.33333333</v>
      </c>
      <c r="X35" s="6">
        <v>2113666.6666666698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8">
        <v>43009.333333333299</v>
      </c>
      <c r="M36" s="3" t="s">
        <v>238</v>
      </c>
      <c r="N36" s="10">
        <v>38571.428571428602</v>
      </c>
      <c r="O36" s="10">
        <v>0</v>
      </c>
      <c r="P36" s="12" t="s">
        <v>161</v>
      </c>
      <c r="Q36" s="10">
        <v>-27584.428571428602</v>
      </c>
      <c r="R36" s="14">
        <v>0</v>
      </c>
      <c r="S36" s="11">
        <v>10987</v>
      </c>
      <c r="T36" s="10">
        <v>0</v>
      </c>
      <c r="U36" s="15">
        <v>1</v>
      </c>
      <c r="V36" s="12" t="s">
        <v>162</v>
      </c>
      <c r="W36" s="10">
        <v>12000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8">
        <v>43040.333333333299</v>
      </c>
      <c r="M37" s="3" t="s">
        <v>238</v>
      </c>
      <c r="N37" s="10">
        <v>0</v>
      </c>
      <c r="O37" s="10">
        <v>0</v>
      </c>
      <c r="P37" s="12" t="s">
        <v>161</v>
      </c>
      <c r="Q37" s="10">
        <v>0</v>
      </c>
      <c r="R37" s="14">
        <v>0</v>
      </c>
      <c r="S37" s="11">
        <v>0</v>
      </c>
      <c r="T37" s="10">
        <v>0</v>
      </c>
      <c r="U37" s="15">
        <v>1</v>
      </c>
      <c r="V37" s="12" t="s">
        <v>162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8">
        <v>43009.333333333299</v>
      </c>
      <c r="M38" s="3" t="s">
        <v>192</v>
      </c>
      <c r="N38" s="10">
        <v>198636.363636364</v>
      </c>
      <c r="O38" s="10">
        <v>0</v>
      </c>
      <c r="P38" s="12" t="s">
        <v>161</v>
      </c>
      <c r="Q38" s="10">
        <v>-108636.363636364</v>
      </c>
      <c r="R38" s="14">
        <v>0</v>
      </c>
      <c r="S38" s="11">
        <v>90000</v>
      </c>
      <c r="T38" s="10">
        <v>0</v>
      </c>
      <c r="U38" s="15">
        <v>1</v>
      </c>
      <c r="V38" s="12" t="s">
        <v>162</v>
      </c>
      <c r="W38" s="10">
        <v>95000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8">
        <v>43009.333333333299</v>
      </c>
      <c r="M39" s="3" t="s">
        <v>238</v>
      </c>
      <c r="N39" s="10">
        <v>1172171.05263158</v>
      </c>
      <c r="O39" s="10">
        <v>1172171.05263158</v>
      </c>
      <c r="P39" s="12" t="s">
        <v>238</v>
      </c>
      <c r="Q39" s="10">
        <v>-194467.219298246</v>
      </c>
      <c r="R39" s="14">
        <v>0</v>
      </c>
      <c r="S39" s="11">
        <v>977703.83333333302</v>
      </c>
      <c r="T39" s="10">
        <v>1172171.05263158</v>
      </c>
      <c r="U39" s="15">
        <v>0.5</v>
      </c>
      <c r="V39" s="12" t="s">
        <v>163</v>
      </c>
      <c r="W39" s="10">
        <v>989833.33333333302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3"/>
      <c r="M40" s="3" t="s">
        <v>161</v>
      </c>
      <c r="N40" s="10">
        <v>0</v>
      </c>
      <c r="O40" s="10">
        <v>25000</v>
      </c>
      <c r="P40" s="12" t="s">
        <v>108</v>
      </c>
      <c r="Q40" s="10">
        <v>0</v>
      </c>
      <c r="R40" s="14">
        <v>0</v>
      </c>
      <c r="S40" s="11">
        <v>0</v>
      </c>
      <c r="T40" s="10">
        <v>25000</v>
      </c>
      <c r="U40" s="15">
        <v>0</v>
      </c>
      <c r="V40" s="12" t="s">
        <v>164</v>
      </c>
      <c r="W40" s="10">
        <v>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3"/>
      <c r="M41" s="3" t="s">
        <v>161</v>
      </c>
      <c r="N41" s="10">
        <v>0</v>
      </c>
      <c r="O41" s="10">
        <v>2000</v>
      </c>
      <c r="P41" s="12" t="s">
        <v>102</v>
      </c>
      <c r="Q41" s="10">
        <v>0</v>
      </c>
      <c r="R41" s="14">
        <v>0</v>
      </c>
      <c r="S41" s="11">
        <v>0</v>
      </c>
      <c r="T41" s="10">
        <v>2000</v>
      </c>
      <c r="U41" s="15">
        <v>0</v>
      </c>
      <c r="V41" s="12" t="s">
        <v>164</v>
      </c>
      <c r="W41" s="10">
        <v>0</v>
      </c>
      <c r="X41" s="10">
        <v>2000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3"/>
      <c r="M42" s="3" t="s">
        <v>161</v>
      </c>
      <c r="N42" s="10">
        <v>0</v>
      </c>
      <c r="O42" s="10">
        <v>0</v>
      </c>
      <c r="P42" s="12" t="s">
        <v>44</v>
      </c>
      <c r="Q42" s="10">
        <v>0</v>
      </c>
      <c r="R42" s="14">
        <v>0</v>
      </c>
      <c r="S42" s="11">
        <v>0</v>
      </c>
      <c r="T42" s="10">
        <v>0</v>
      </c>
      <c r="U42" s="15">
        <v>0</v>
      </c>
      <c r="V42" s="12" t="s">
        <v>164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4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144</v>
      </c>
      <c r="C1" s="8">
        <v>43101.708333333299</v>
      </c>
      <c r="E1" s="1" t="s">
        <v>145</v>
      </c>
      <c r="F1" s="4" t="s">
        <v>239</v>
      </c>
    </row>
    <row r="3" spans="1:24" x14ac:dyDescent="0.35">
      <c r="A3" s="29" t="s">
        <v>0</v>
      </c>
      <c r="B3" s="29"/>
      <c r="C3" s="29" t="s">
        <v>2</v>
      </c>
      <c r="D3" s="29"/>
      <c r="E3" s="29"/>
      <c r="F3" s="29" t="s">
        <v>3</v>
      </c>
      <c r="G3" s="29"/>
      <c r="H3" s="29" t="s">
        <v>4</v>
      </c>
      <c r="I3" s="29"/>
      <c r="J3" s="29"/>
      <c r="K3" s="29"/>
      <c r="L3" s="29" t="s">
        <v>146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147</v>
      </c>
      <c r="M4" s="1" t="s">
        <v>148</v>
      </c>
      <c r="N4" s="1" t="s">
        <v>149</v>
      </c>
      <c r="O4" s="1" t="s">
        <v>150</v>
      </c>
      <c r="P4" s="1" t="s">
        <v>151</v>
      </c>
      <c r="Q4" s="1" t="s">
        <v>152</v>
      </c>
      <c r="R4" s="1" t="s">
        <v>153</v>
      </c>
      <c r="S4" s="1" t="s">
        <v>154</v>
      </c>
      <c r="T4" s="1" t="s">
        <v>155</v>
      </c>
      <c r="U4" s="1" t="s">
        <v>156</v>
      </c>
      <c r="V4" s="1" t="s">
        <v>146</v>
      </c>
      <c r="W4" s="1" t="s">
        <v>157</v>
      </c>
      <c r="X4" s="1" t="s">
        <v>158</v>
      </c>
    </row>
    <row r="5" spans="1:24" x14ac:dyDescent="0.35">
      <c r="A5" s="2">
        <v>0</v>
      </c>
      <c r="B5" s="3" t="s">
        <v>18</v>
      </c>
      <c r="C5" s="5">
        <v>42375.333333333299</v>
      </c>
      <c r="D5" s="5">
        <v>42895.708333333299</v>
      </c>
      <c r="E5" s="2" t="s">
        <v>20</v>
      </c>
      <c r="F5" s="2"/>
      <c r="G5" s="6"/>
      <c r="H5" s="6">
        <v>0</v>
      </c>
      <c r="I5" s="6"/>
      <c r="J5" s="6"/>
      <c r="K5" s="6">
        <v>4318950</v>
      </c>
      <c r="L5" s="2"/>
      <c r="M5" s="2" t="s">
        <v>236</v>
      </c>
      <c r="N5" s="6"/>
      <c r="O5" s="6"/>
      <c r="P5" s="2"/>
      <c r="Q5" s="6"/>
      <c r="R5" s="6"/>
      <c r="S5" s="6">
        <v>4232553.41</v>
      </c>
      <c r="T5" s="6"/>
      <c r="U5" s="13">
        <v>1</v>
      </c>
      <c r="V5" s="2"/>
      <c r="W5" s="6">
        <v>4318950</v>
      </c>
      <c r="X5" s="6">
        <v>4318950</v>
      </c>
    </row>
    <row r="6" spans="1:24" x14ac:dyDescent="0.35">
      <c r="A6" s="3">
        <v>1</v>
      </c>
      <c r="B6" s="3" t="s">
        <v>21</v>
      </c>
      <c r="C6" s="9">
        <v>42375.333333333299</v>
      </c>
      <c r="D6" s="9">
        <v>42398.708333333299</v>
      </c>
      <c r="E6" s="12" t="s">
        <v>23</v>
      </c>
      <c r="F6" s="12"/>
      <c r="G6" s="10">
        <v>0</v>
      </c>
      <c r="H6" s="10">
        <v>0</v>
      </c>
      <c r="I6" s="10">
        <v>153.125</v>
      </c>
      <c r="J6" s="10">
        <v>22050</v>
      </c>
      <c r="K6" s="10">
        <v>22050</v>
      </c>
      <c r="L6" s="8">
        <v>42375.333333333299</v>
      </c>
      <c r="M6" s="3" t="s">
        <v>160</v>
      </c>
      <c r="N6" s="10">
        <v>23275</v>
      </c>
      <c r="O6" s="10">
        <v>0</v>
      </c>
      <c r="P6" s="12" t="s">
        <v>161</v>
      </c>
      <c r="Q6" s="10">
        <v>-1225</v>
      </c>
      <c r="R6" s="14">
        <v>0</v>
      </c>
      <c r="S6" s="11">
        <v>22050</v>
      </c>
      <c r="T6" s="10">
        <v>0</v>
      </c>
      <c r="U6" s="15">
        <v>1</v>
      </c>
      <c r="V6" s="12" t="s">
        <v>162</v>
      </c>
      <c r="W6" s="10">
        <v>22050</v>
      </c>
      <c r="X6" s="10">
        <v>22050</v>
      </c>
    </row>
    <row r="7" spans="1:24" ht="22" x14ac:dyDescent="0.35">
      <c r="A7" s="3">
        <v>2</v>
      </c>
      <c r="B7" s="3" t="s">
        <v>24</v>
      </c>
      <c r="C7" s="9">
        <v>42401.333333333299</v>
      </c>
      <c r="D7" s="9">
        <v>42429.708333333299</v>
      </c>
      <c r="E7" s="12" t="s">
        <v>26</v>
      </c>
      <c r="F7" s="12"/>
      <c r="G7" s="10">
        <v>0</v>
      </c>
      <c r="H7" s="10">
        <v>0</v>
      </c>
      <c r="I7" s="10">
        <v>1785.7142857142901</v>
      </c>
      <c r="J7" s="10">
        <v>300000</v>
      </c>
      <c r="K7" s="10">
        <v>300000</v>
      </c>
      <c r="L7" s="8">
        <v>42375.333333333299</v>
      </c>
      <c r="M7" s="3" t="s">
        <v>166</v>
      </c>
      <c r="N7" s="10">
        <v>571428.57142857101</v>
      </c>
      <c r="O7" s="10">
        <v>0</v>
      </c>
      <c r="P7" s="12" t="s">
        <v>161</v>
      </c>
      <c r="Q7" s="10">
        <v>-366543.57142857101</v>
      </c>
      <c r="R7" s="14">
        <v>0</v>
      </c>
      <c r="S7" s="11">
        <v>204885</v>
      </c>
      <c r="T7" s="10">
        <v>0</v>
      </c>
      <c r="U7" s="15">
        <v>1</v>
      </c>
      <c r="V7" s="12" t="s">
        <v>162</v>
      </c>
      <c r="W7" s="10">
        <v>300000</v>
      </c>
      <c r="X7" s="10">
        <v>300000</v>
      </c>
    </row>
    <row r="8" spans="1:24" ht="22" x14ac:dyDescent="0.35">
      <c r="A8" s="3">
        <v>3</v>
      </c>
      <c r="B8" s="3" t="s">
        <v>27</v>
      </c>
      <c r="C8" s="9">
        <v>42429.333333333299</v>
      </c>
      <c r="D8" s="9">
        <v>42499.708333333299</v>
      </c>
      <c r="E8" s="12" t="s">
        <v>29</v>
      </c>
      <c r="F8" s="12"/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v>42401.333333333299</v>
      </c>
      <c r="M8" s="3" t="s">
        <v>167</v>
      </c>
      <c r="N8" s="10">
        <v>0</v>
      </c>
      <c r="O8" s="10">
        <v>0</v>
      </c>
      <c r="P8" s="12" t="s">
        <v>161</v>
      </c>
      <c r="Q8" s="10">
        <v>0</v>
      </c>
      <c r="R8" s="14">
        <v>0</v>
      </c>
      <c r="S8" s="11">
        <v>0</v>
      </c>
      <c r="T8" s="10">
        <v>0</v>
      </c>
      <c r="U8" s="15">
        <v>1</v>
      </c>
      <c r="V8" s="12" t="s">
        <v>162</v>
      </c>
      <c r="W8" s="10">
        <v>0</v>
      </c>
      <c r="X8" s="10">
        <v>0</v>
      </c>
    </row>
    <row r="9" spans="1:24" ht="22" x14ac:dyDescent="0.35">
      <c r="A9" s="3">
        <v>4</v>
      </c>
      <c r="B9" s="3" t="s">
        <v>30</v>
      </c>
      <c r="C9" s="9">
        <v>42444.333333333299</v>
      </c>
      <c r="D9" s="9">
        <v>42471.708333333299</v>
      </c>
      <c r="E9" s="12" t="s">
        <v>32</v>
      </c>
      <c r="F9" s="12"/>
      <c r="G9" s="10">
        <v>0</v>
      </c>
      <c r="H9" s="10">
        <v>0</v>
      </c>
      <c r="I9" s="10">
        <v>40</v>
      </c>
      <c r="J9" s="10">
        <v>6400</v>
      </c>
      <c r="K9" s="10">
        <v>6400</v>
      </c>
      <c r="L9" s="8">
        <v>42444.333333333299</v>
      </c>
      <c r="M9" s="3" t="s">
        <v>38</v>
      </c>
      <c r="N9" s="10">
        <v>7680</v>
      </c>
      <c r="O9" s="10">
        <v>0</v>
      </c>
      <c r="P9" s="12" t="s">
        <v>161</v>
      </c>
      <c r="Q9" s="10">
        <v>-1280</v>
      </c>
      <c r="R9" s="14">
        <v>0</v>
      </c>
      <c r="S9" s="11">
        <v>6400</v>
      </c>
      <c r="T9" s="10">
        <v>0</v>
      </c>
      <c r="U9" s="15">
        <v>1</v>
      </c>
      <c r="V9" s="12" t="s">
        <v>162</v>
      </c>
      <c r="W9" s="10">
        <v>6400</v>
      </c>
      <c r="X9" s="10">
        <v>6400</v>
      </c>
    </row>
    <row r="10" spans="1:24" ht="22" x14ac:dyDescent="0.35">
      <c r="A10" s="3">
        <v>5</v>
      </c>
      <c r="B10" s="3" t="s">
        <v>33</v>
      </c>
      <c r="C10" s="9">
        <v>42471.333333333299</v>
      </c>
      <c r="D10" s="9">
        <v>42548.708333333299</v>
      </c>
      <c r="E10" s="12" t="s">
        <v>35</v>
      </c>
      <c r="F10" s="12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8">
        <v>42491.333333333299</v>
      </c>
      <c r="M10" s="3" t="s">
        <v>173</v>
      </c>
      <c r="N10" s="10">
        <v>0</v>
      </c>
      <c r="O10" s="10">
        <v>0</v>
      </c>
      <c r="P10" s="12" t="s">
        <v>161</v>
      </c>
      <c r="Q10" s="10">
        <v>0</v>
      </c>
      <c r="R10" s="14">
        <v>0</v>
      </c>
      <c r="S10" s="11">
        <v>0</v>
      </c>
      <c r="T10" s="10">
        <v>0</v>
      </c>
      <c r="U10" s="15">
        <v>1</v>
      </c>
      <c r="V10" s="12" t="s">
        <v>162</v>
      </c>
      <c r="W10" s="10">
        <v>0</v>
      </c>
      <c r="X10" s="10">
        <v>0</v>
      </c>
    </row>
    <row r="11" spans="1:24" x14ac:dyDescent="0.35">
      <c r="A11" s="3">
        <v>6</v>
      </c>
      <c r="B11" s="3" t="s">
        <v>36</v>
      </c>
      <c r="C11" s="9">
        <v>42466.333333333299</v>
      </c>
      <c r="D11" s="9">
        <v>42499.708333333299</v>
      </c>
      <c r="E11" s="12" t="s">
        <v>38</v>
      </c>
      <c r="F11" s="12"/>
      <c r="G11" s="10">
        <v>0</v>
      </c>
      <c r="H11" s="10">
        <v>0</v>
      </c>
      <c r="I11" s="10">
        <v>62.5</v>
      </c>
      <c r="J11" s="10">
        <v>12000</v>
      </c>
      <c r="K11" s="10">
        <v>12000</v>
      </c>
      <c r="L11" s="8">
        <v>42466.333333333299</v>
      </c>
      <c r="M11" s="3" t="s">
        <v>90</v>
      </c>
      <c r="N11" s="10">
        <v>4000</v>
      </c>
      <c r="O11" s="10">
        <v>0</v>
      </c>
      <c r="P11" s="12" t="s">
        <v>161</v>
      </c>
      <c r="Q11" s="10">
        <v>6550</v>
      </c>
      <c r="R11" s="14">
        <v>0</v>
      </c>
      <c r="S11" s="11">
        <v>10550</v>
      </c>
      <c r="T11" s="10">
        <v>0</v>
      </c>
      <c r="U11" s="15">
        <v>1</v>
      </c>
      <c r="V11" s="12" t="s">
        <v>162</v>
      </c>
      <c r="W11" s="10">
        <v>12000</v>
      </c>
      <c r="X11" s="10">
        <v>12000</v>
      </c>
    </row>
    <row r="12" spans="1:24" x14ac:dyDescent="0.35">
      <c r="A12" s="3">
        <v>7</v>
      </c>
      <c r="B12" s="3" t="s">
        <v>39</v>
      </c>
      <c r="C12" s="9">
        <v>42500.333333333299</v>
      </c>
      <c r="D12" s="9">
        <v>42506.708333333299</v>
      </c>
      <c r="E12" s="12" t="s">
        <v>41</v>
      </c>
      <c r="F12" s="12"/>
      <c r="G12" s="10">
        <v>0</v>
      </c>
      <c r="H12" s="10">
        <v>0</v>
      </c>
      <c r="I12" s="10">
        <v>767.5</v>
      </c>
      <c r="J12" s="10">
        <v>30700</v>
      </c>
      <c r="K12" s="10">
        <v>30700</v>
      </c>
      <c r="L12" s="8">
        <v>42430.333333333299</v>
      </c>
      <c r="M12" s="3" t="s">
        <v>173</v>
      </c>
      <c r="N12" s="10">
        <v>270160</v>
      </c>
      <c r="O12" s="10">
        <v>0</v>
      </c>
      <c r="P12" s="12" t="s">
        <v>161</v>
      </c>
      <c r="Q12" s="10">
        <v>-237490</v>
      </c>
      <c r="R12" s="14">
        <v>0</v>
      </c>
      <c r="S12" s="11">
        <v>32670</v>
      </c>
      <c r="T12" s="10">
        <v>0</v>
      </c>
      <c r="U12" s="15">
        <v>1</v>
      </c>
      <c r="V12" s="12" t="s">
        <v>162</v>
      </c>
      <c r="W12" s="10">
        <v>30700</v>
      </c>
      <c r="X12" s="10">
        <v>30700</v>
      </c>
    </row>
    <row r="13" spans="1:24" x14ac:dyDescent="0.35">
      <c r="A13" s="3">
        <v>8</v>
      </c>
      <c r="B13" s="3" t="s">
        <v>42</v>
      </c>
      <c r="C13" s="9">
        <v>42507.333333333299</v>
      </c>
      <c r="D13" s="9">
        <v>42507.708333333299</v>
      </c>
      <c r="E13" s="12" t="s">
        <v>44</v>
      </c>
      <c r="F13" s="12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42475.333333333299</v>
      </c>
      <c r="M13" s="3" t="s">
        <v>176</v>
      </c>
      <c r="N13" s="10">
        <v>0</v>
      </c>
      <c r="O13" s="10">
        <v>0</v>
      </c>
      <c r="P13" s="12" t="s">
        <v>161</v>
      </c>
      <c r="Q13" s="10">
        <v>0</v>
      </c>
      <c r="R13" s="14">
        <v>0</v>
      </c>
      <c r="S13" s="11">
        <v>0</v>
      </c>
      <c r="T13" s="10">
        <v>0</v>
      </c>
      <c r="U13" s="15">
        <v>1</v>
      </c>
      <c r="V13" s="12" t="s">
        <v>162</v>
      </c>
      <c r="W13" s="10">
        <v>0</v>
      </c>
      <c r="X13" s="10">
        <v>0</v>
      </c>
    </row>
    <row r="14" spans="1:24" x14ac:dyDescent="0.35">
      <c r="A14" s="3">
        <v>9</v>
      </c>
      <c r="B14" s="3" t="s">
        <v>45</v>
      </c>
      <c r="C14" s="9">
        <v>42507.333333333299</v>
      </c>
      <c r="D14" s="9">
        <v>42507.708333333299</v>
      </c>
      <c r="E14" s="12" t="s">
        <v>44</v>
      </c>
      <c r="F14" s="12"/>
      <c r="G14" s="10">
        <v>0</v>
      </c>
      <c r="H14" s="10">
        <v>0</v>
      </c>
      <c r="I14" s="10">
        <v>312.5</v>
      </c>
      <c r="J14" s="10">
        <v>2500</v>
      </c>
      <c r="K14" s="10">
        <v>2500</v>
      </c>
      <c r="L14" s="8">
        <v>42523.333333333299</v>
      </c>
      <c r="M14" s="3" t="s">
        <v>44</v>
      </c>
      <c r="N14" s="10">
        <v>2500</v>
      </c>
      <c r="O14" s="10">
        <v>0</v>
      </c>
      <c r="P14" s="12" t="s">
        <v>161</v>
      </c>
      <c r="Q14" s="10">
        <v>0</v>
      </c>
      <c r="R14" s="14">
        <v>0</v>
      </c>
      <c r="S14" s="11">
        <v>2500</v>
      </c>
      <c r="T14" s="10">
        <v>0</v>
      </c>
      <c r="U14" s="15">
        <v>1</v>
      </c>
      <c r="V14" s="12" t="s">
        <v>162</v>
      </c>
      <c r="W14" s="10">
        <v>2500</v>
      </c>
      <c r="X14" s="10">
        <v>2500</v>
      </c>
    </row>
    <row r="15" spans="1:24" x14ac:dyDescent="0.35">
      <c r="A15" s="3">
        <v>10</v>
      </c>
      <c r="B15" s="3" t="s">
        <v>47</v>
      </c>
      <c r="C15" s="9">
        <v>42508.333333333299</v>
      </c>
      <c r="D15" s="9">
        <v>42528.708333333299</v>
      </c>
      <c r="E15" s="12" t="s">
        <v>49</v>
      </c>
      <c r="F15" s="12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42508.333333333299</v>
      </c>
      <c r="M15" s="3" t="s">
        <v>183</v>
      </c>
      <c r="N15" s="10">
        <v>0</v>
      </c>
      <c r="O15" s="10">
        <v>0</v>
      </c>
      <c r="P15" s="12" t="s">
        <v>161</v>
      </c>
      <c r="Q15" s="10">
        <v>0</v>
      </c>
      <c r="R15" s="14">
        <v>0</v>
      </c>
      <c r="S15" s="11">
        <v>0</v>
      </c>
      <c r="T15" s="10">
        <v>0</v>
      </c>
      <c r="U15" s="15">
        <v>1</v>
      </c>
      <c r="V15" s="12" t="s">
        <v>162</v>
      </c>
      <c r="W15" s="10">
        <v>0</v>
      </c>
      <c r="X15" s="10">
        <v>0</v>
      </c>
    </row>
    <row r="16" spans="1:24" x14ac:dyDescent="0.35">
      <c r="A16" s="3">
        <v>11</v>
      </c>
      <c r="B16" s="3" t="s">
        <v>50</v>
      </c>
      <c r="C16" s="9">
        <v>42528.333333333299</v>
      </c>
      <c r="D16" s="9">
        <v>42528.708333333299</v>
      </c>
      <c r="E16" s="12" t="s">
        <v>44</v>
      </c>
      <c r="F16" s="12"/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8">
        <v>42566.333333333299</v>
      </c>
      <c r="M16" s="3" t="s">
        <v>44</v>
      </c>
      <c r="N16" s="10">
        <v>0</v>
      </c>
      <c r="O16" s="10">
        <v>0</v>
      </c>
      <c r="P16" s="12" t="s">
        <v>161</v>
      </c>
      <c r="Q16" s="10">
        <v>0</v>
      </c>
      <c r="R16" s="14">
        <v>0</v>
      </c>
      <c r="S16" s="11">
        <v>0</v>
      </c>
      <c r="T16" s="10">
        <v>0</v>
      </c>
      <c r="U16" s="15">
        <v>1</v>
      </c>
      <c r="V16" s="12" t="s">
        <v>162</v>
      </c>
      <c r="W16" s="10">
        <v>0</v>
      </c>
      <c r="X16" s="10">
        <v>0</v>
      </c>
    </row>
    <row r="17" spans="1:24" x14ac:dyDescent="0.35">
      <c r="A17" s="3">
        <v>12</v>
      </c>
      <c r="B17" s="3" t="s">
        <v>52</v>
      </c>
      <c r="C17" s="9">
        <v>42529.333333333299</v>
      </c>
      <c r="D17" s="9">
        <v>42542.708333333299</v>
      </c>
      <c r="E17" s="12" t="s">
        <v>54</v>
      </c>
      <c r="F17" s="12"/>
      <c r="G17" s="10">
        <v>0</v>
      </c>
      <c r="H17" s="10">
        <v>0</v>
      </c>
      <c r="I17" s="10">
        <v>40</v>
      </c>
      <c r="J17" s="10">
        <v>3200</v>
      </c>
      <c r="K17" s="10">
        <v>3200</v>
      </c>
      <c r="L17" s="8">
        <v>42566.333333333299</v>
      </c>
      <c r="M17" s="3" t="s">
        <v>186</v>
      </c>
      <c r="N17" s="10">
        <v>12480</v>
      </c>
      <c r="O17" s="10">
        <v>0</v>
      </c>
      <c r="P17" s="12" t="s">
        <v>161</v>
      </c>
      <c r="Q17" s="10">
        <v>-9280</v>
      </c>
      <c r="R17" s="14">
        <v>0</v>
      </c>
      <c r="S17" s="11">
        <v>3200</v>
      </c>
      <c r="T17" s="10">
        <v>0</v>
      </c>
      <c r="U17" s="15">
        <v>1</v>
      </c>
      <c r="V17" s="12" t="s">
        <v>162</v>
      </c>
      <c r="W17" s="10">
        <v>3200</v>
      </c>
      <c r="X17" s="10">
        <v>3200</v>
      </c>
    </row>
    <row r="18" spans="1:24" x14ac:dyDescent="0.35">
      <c r="A18" s="3">
        <v>13</v>
      </c>
      <c r="B18" s="3" t="s">
        <v>55</v>
      </c>
      <c r="C18" s="9">
        <v>42543.333333333299</v>
      </c>
      <c r="D18" s="9">
        <v>42549.708333333299</v>
      </c>
      <c r="E18" s="12" t="s">
        <v>41</v>
      </c>
      <c r="F18" s="12"/>
      <c r="G18" s="10">
        <v>0</v>
      </c>
      <c r="H18" s="10">
        <v>0</v>
      </c>
      <c r="I18" s="10">
        <v>40</v>
      </c>
      <c r="J18" s="10">
        <v>1600</v>
      </c>
      <c r="K18" s="10">
        <v>1600</v>
      </c>
      <c r="L18" s="8">
        <v>42620.333333333299</v>
      </c>
      <c r="M18" s="3" t="s">
        <v>167</v>
      </c>
      <c r="N18" s="10">
        <v>7040</v>
      </c>
      <c r="O18" s="10">
        <v>0</v>
      </c>
      <c r="P18" s="12" t="s">
        <v>161</v>
      </c>
      <c r="Q18" s="10">
        <v>-5440</v>
      </c>
      <c r="R18" s="14">
        <v>0</v>
      </c>
      <c r="S18" s="11">
        <v>1600</v>
      </c>
      <c r="T18" s="10">
        <v>0</v>
      </c>
      <c r="U18" s="15">
        <v>1</v>
      </c>
      <c r="V18" s="12" t="s">
        <v>162</v>
      </c>
      <c r="W18" s="10">
        <v>1600</v>
      </c>
      <c r="X18" s="10">
        <v>1600</v>
      </c>
    </row>
    <row r="19" spans="1:24" x14ac:dyDescent="0.35">
      <c r="A19" s="3">
        <v>14</v>
      </c>
      <c r="B19" s="3" t="s">
        <v>57</v>
      </c>
      <c r="C19" s="9">
        <v>42550.333333333299</v>
      </c>
      <c r="D19" s="9">
        <v>42556.708333333299</v>
      </c>
      <c r="E19" s="12" t="s">
        <v>41</v>
      </c>
      <c r="F19" s="12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42620.333333333299</v>
      </c>
      <c r="M19" s="3" t="s">
        <v>167</v>
      </c>
      <c r="N19" s="10">
        <v>0</v>
      </c>
      <c r="O19" s="10">
        <v>0</v>
      </c>
      <c r="P19" s="12" t="s">
        <v>161</v>
      </c>
      <c r="Q19" s="10">
        <v>0</v>
      </c>
      <c r="R19" s="14">
        <v>0</v>
      </c>
      <c r="S19" s="11">
        <v>0</v>
      </c>
      <c r="T19" s="10">
        <v>0</v>
      </c>
      <c r="U19" s="15">
        <v>1</v>
      </c>
      <c r="V19" s="12" t="s">
        <v>162</v>
      </c>
      <c r="W19" s="10">
        <v>0</v>
      </c>
      <c r="X19" s="10">
        <v>0</v>
      </c>
    </row>
    <row r="20" spans="1:24" x14ac:dyDescent="0.35">
      <c r="A20" s="3">
        <v>15</v>
      </c>
      <c r="B20" s="3" t="s">
        <v>59</v>
      </c>
      <c r="C20" s="9">
        <v>42566.333333333299</v>
      </c>
      <c r="D20" s="9">
        <v>42566.708333333299</v>
      </c>
      <c r="E20" s="12" t="s">
        <v>44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42681.333333333299</v>
      </c>
      <c r="M20" s="3" t="s">
        <v>44</v>
      </c>
      <c r="N20" s="10">
        <v>0</v>
      </c>
      <c r="O20" s="10">
        <v>0</v>
      </c>
      <c r="P20" s="12" t="s">
        <v>161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162</v>
      </c>
      <c r="W20" s="10">
        <v>0</v>
      </c>
      <c r="X20" s="10">
        <v>0</v>
      </c>
    </row>
    <row r="21" spans="1:24" x14ac:dyDescent="0.35">
      <c r="A21" s="3">
        <v>16</v>
      </c>
      <c r="B21" s="3" t="s">
        <v>61</v>
      </c>
      <c r="C21" s="9">
        <v>42577.333333333299</v>
      </c>
      <c r="D21" s="9">
        <v>42577.708333333299</v>
      </c>
      <c r="E21" s="12" t="s">
        <v>44</v>
      </c>
      <c r="F21" s="12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42681.333333333299</v>
      </c>
      <c r="M21" s="3" t="s">
        <v>44</v>
      </c>
      <c r="N21" s="10">
        <v>0</v>
      </c>
      <c r="O21" s="10">
        <v>0</v>
      </c>
      <c r="P21" s="12" t="s">
        <v>161</v>
      </c>
      <c r="Q21" s="10">
        <v>0</v>
      </c>
      <c r="R21" s="14">
        <v>0</v>
      </c>
      <c r="S21" s="11">
        <v>0</v>
      </c>
      <c r="T21" s="10">
        <v>0</v>
      </c>
      <c r="U21" s="15">
        <v>1</v>
      </c>
      <c r="V21" s="12" t="s">
        <v>162</v>
      </c>
      <c r="W21" s="10">
        <v>0</v>
      </c>
      <c r="X21" s="10">
        <v>0</v>
      </c>
    </row>
    <row r="22" spans="1:24" x14ac:dyDescent="0.35">
      <c r="A22" s="3">
        <v>17</v>
      </c>
      <c r="B22" s="3" t="s">
        <v>63</v>
      </c>
      <c r="C22" s="9">
        <v>42577.333333333299</v>
      </c>
      <c r="D22" s="9">
        <v>42590.708333333299</v>
      </c>
      <c r="E22" s="12" t="s">
        <v>54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42649.333333333299</v>
      </c>
      <c r="M22" s="3" t="s">
        <v>183</v>
      </c>
      <c r="N22" s="10">
        <v>0</v>
      </c>
      <c r="O22" s="10">
        <v>0</v>
      </c>
      <c r="P22" s="12" t="s">
        <v>161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162</v>
      </c>
      <c r="W22" s="10">
        <v>0</v>
      </c>
      <c r="X22" s="10">
        <v>0</v>
      </c>
    </row>
    <row r="23" spans="1:24" x14ac:dyDescent="0.35">
      <c r="A23" s="3">
        <v>18</v>
      </c>
      <c r="B23" s="3" t="s">
        <v>65</v>
      </c>
      <c r="C23" s="9">
        <v>42591.333333333299</v>
      </c>
      <c r="D23" s="9">
        <v>42597.708333333299</v>
      </c>
      <c r="E23" s="12" t="s">
        <v>41</v>
      </c>
      <c r="F23" s="12"/>
      <c r="G23" s="10">
        <v>0</v>
      </c>
      <c r="H23" s="10">
        <v>0</v>
      </c>
      <c r="I23" s="10">
        <v>4125</v>
      </c>
      <c r="J23" s="10">
        <v>165000</v>
      </c>
      <c r="K23" s="10">
        <v>165000</v>
      </c>
      <c r="L23" s="8">
        <v>42681.333333333299</v>
      </c>
      <c r="M23" s="3" t="s">
        <v>26</v>
      </c>
      <c r="N23" s="10">
        <v>693000</v>
      </c>
      <c r="O23" s="10">
        <v>0</v>
      </c>
      <c r="P23" s="12" t="s">
        <v>161</v>
      </c>
      <c r="Q23" s="10">
        <v>-502239.9</v>
      </c>
      <c r="R23" s="14">
        <v>0</v>
      </c>
      <c r="S23" s="11">
        <v>190760.1</v>
      </c>
      <c r="T23" s="10">
        <v>0</v>
      </c>
      <c r="U23" s="15">
        <v>1</v>
      </c>
      <c r="V23" s="12" t="s">
        <v>162</v>
      </c>
      <c r="W23" s="10">
        <v>165000</v>
      </c>
      <c r="X23" s="10">
        <v>165000</v>
      </c>
    </row>
    <row r="24" spans="1:24" ht="32.5" x14ac:dyDescent="0.35">
      <c r="A24" s="4">
        <v>38</v>
      </c>
      <c r="B24" s="4" t="s">
        <v>67</v>
      </c>
      <c r="C24" s="5">
        <v>42618.333333333299</v>
      </c>
      <c r="D24" s="5">
        <v>42636.708333333299</v>
      </c>
      <c r="E24" s="2" t="s">
        <v>49</v>
      </c>
      <c r="F24" s="2"/>
      <c r="G24" s="6"/>
      <c r="H24" s="6">
        <v>0</v>
      </c>
      <c r="I24" s="6"/>
      <c r="J24" s="6"/>
      <c r="K24" s="6">
        <v>410000</v>
      </c>
      <c r="L24" s="2"/>
      <c r="M24" s="2" t="s">
        <v>166</v>
      </c>
      <c r="N24" s="6"/>
      <c r="O24" s="6"/>
      <c r="P24" s="2"/>
      <c r="Q24" s="6"/>
      <c r="R24" s="6"/>
      <c r="S24" s="6">
        <v>430397.54</v>
      </c>
      <c r="T24" s="6"/>
      <c r="U24" s="13">
        <v>1</v>
      </c>
      <c r="V24" s="2"/>
      <c r="W24" s="6">
        <v>410000</v>
      </c>
      <c r="X24" s="6">
        <v>410000</v>
      </c>
    </row>
    <row r="25" spans="1:24" ht="22" x14ac:dyDescent="0.35">
      <c r="A25" s="3">
        <v>19</v>
      </c>
      <c r="B25" s="3" t="s">
        <v>69</v>
      </c>
      <c r="C25" s="9">
        <v>42618.333333333299</v>
      </c>
      <c r="D25" s="9">
        <v>42636.708333333299</v>
      </c>
      <c r="E25" s="12" t="s">
        <v>49</v>
      </c>
      <c r="F25" s="12"/>
      <c r="G25" s="10">
        <v>0</v>
      </c>
      <c r="H25" s="10">
        <v>0</v>
      </c>
      <c r="I25" s="10">
        <v>3416.6666666666702</v>
      </c>
      <c r="J25" s="10">
        <v>410000</v>
      </c>
      <c r="K25" s="10">
        <v>410000</v>
      </c>
      <c r="L25" s="8">
        <v>42681.333333333299</v>
      </c>
      <c r="M25" s="3" t="s">
        <v>166</v>
      </c>
      <c r="N25" s="10">
        <v>1093333.33333333</v>
      </c>
      <c r="O25" s="10">
        <v>0</v>
      </c>
      <c r="P25" s="12" t="s">
        <v>161</v>
      </c>
      <c r="Q25" s="10">
        <v>-662935.79333333299</v>
      </c>
      <c r="R25" s="14">
        <v>0</v>
      </c>
      <c r="S25" s="11">
        <v>430397.54</v>
      </c>
      <c r="T25" s="10">
        <v>0</v>
      </c>
      <c r="U25" s="15">
        <v>1</v>
      </c>
      <c r="V25" s="12" t="s">
        <v>162</v>
      </c>
      <c r="W25" s="10">
        <v>410000</v>
      </c>
      <c r="X25" s="10">
        <v>410000</v>
      </c>
    </row>
    <row r="26" spans="1:24" x14ac:dyDescent="0.35">
      <c r="A26" s="4">
        <v>39</v>
      </c>
      <c r="B26" s="4" t="s">
        <v>71</v>
      </c>
      <c r="C26" s="5">
        <v>42618.333333333299</v>
      </c>
      <c r="D26" s="5">
        <v>42699.708333333299</v>
      </c>
      <c r="E26" s="2" t="s">
        <v>73</v>
      </c>
      <c r="F26" s="2"/>
      <c r="G26" s="6"/>
      <c r="H26" s="6">
        <v>0</v>
      </c>
      <c r="I26" s="6"/>
      <c r="J26" s="6"/>
      <c r="K26" s="6">
        <v>195000</v>
      </c>
      <c r="L26" s="2"/>
      <c r="M26" s="2" t="s">
        <v>187</v>
      </c>
      <c r="N26" s="6"/>
      <c r="O26" s="6"/>
      <c r="P26" s="2"/>
      <c r="Q26" s="6"/>
      <c r="R26" s="6"/>
      <c r="S26" s="6">
        <v>215198.77</v>
      </c>
      <c r="T26" s="6"/>
      <c r="U26" s="13">
        <v>1</v>
      </c>
      <c r="V26" s="2"/>
      <c r="W26" s="6">
        <v>195000</v>
      </c>
      <c r="X26" s="6">
        <v>195000</v>
      </c>
    </row>
    <row r="27" spans="1:24" x14ac:dyDescent="0.35">
      <c r="A27" s="3">
        <v>20</v>
      </c>
      <c r="B27" s="3" t="s">
        <v>74</v>
      </c>
      <c r="C27" s="9">
        <v>42618.333333333299</v>
      </c>
      <c r="D27" s="9">
        <v>42692.708333333299</v>
      </c>
      <c r="E27" s="12" t="s">
        <v>76</v>
      </c>
      <c r="F27" s="12"/>
      <c r="G27" s="10">
        <v>0</v>
      </c>
      <c r="H27" s="10">
        <v>0</v>
      </c>
      <c r="I27" s="10">
        <v>438.63636363636402</v>
      </c>
      <c r="J27" s="10">
        <v>193000</v>
      </c>
      <c r="K27" s="10">
        <v>193000</v>
      </c>
      <c r="L27" s="8">
        <v>42523.333333333299</v>
      </c>
      <c r="M27" s="3" t="s">
        <v>187</v>
      </c>
      <c r="N27" s="10">
        <v>245636.363636364</v>
      </c>
      <c r="O27" s="10">
        <v>0</v>
      </c>
      <c r="P27" s="12" t="s">
        <v>161</v>
      </c>
      <c r="Q27" s="10">
        <v>-30437.593636363599</v>
      </c>
      <c r="R27" s="14">
        <v>0</v>
      </c>
      <c r="S27" s="11">
        <v>215198.77</v>
      </c>
      <c r="T27" s="10">
        <v>0</v>
      </c>
      <c r="U27" s="15">
        <v>1</v>
      </c>
      <c r="V27" s="12" t="s">
        <v>162</v>
      </c>
      <c r="W27" s="10">
        <v>193000</v>
      </c>
      <c r="X27" s="10">
        <v>193000</v>
      </c>
    </row>
    <row r="28" spans="1:24" x14ac:dyDescent="0.35">
      <c r="A28" s="3">
        <v>21</v>
      </c>
      <c r="B28" s="3" t="s">
        <v>77</v>
      </c>
      <c r="C28" s="9">
        <v>42695.333333333299</v>
      </c>
      <c r="D28" s="9">
        <v>42699.708333333299</v>
      </c>
      <c r="E28" s="12" t="s">
        <v>41</v>
      </c>
      <c r="F28" s="12"/>
      <c r="G28" s="10">
        <v>0</v>
      </c>
      <c r="H28" s="10">
        <v>0</v>
      </c>
      <c r="I28" s="10">
        <v>50</v>
      </c>
      <c r="J28" s="10">
        <v>2000</v>
      </c>
      <c r="K28" s="10">
        <v>2000</v>
      </c>
      <c r="L28" s="8">
        <v>42566.333333333299</v>
      </c>
      <c r="M28" s="3" t="s">
        <v>186</v>
      </c>
      <c r="N28" s="10">
        <v>15600</v>
      </c>
      <c r="O28" s="10">
        <v>0</v>
      </c>
      <c r="P28" s="12" t="s">
        <v>161</v>
      </c>
      <c r="Q28" s="10">
        <v>-15600</v>
      </c>
      <c r="R28" s="14">
        <v>0</v>
      </c>
      <c r="S28" s="11">
        <v>0</v>
      </c>
      <c r="T28" s="10">
        <v>0</v>
      </c>
      <c r="U28" s="15">
        <v>1</v>
      </c>
      <c r="V28" s="12" t="s">
        <v>162</v>
      </c>
      <c r="W28" s="10">
        <v>2000</v>
      </c>
      <c r="X28" s="10">
        <v>2000</v>
      </c>
    </row>
    <row r="29" spans="1:24" x14ac:dyDescent="0.35">
      <c r="A29" s="3">
        <v>22</v>
      </c>
      <c r="B29" s="3" t="s">
        <v>79</v>
      </c>
      <c r="C29" s="9">
        <v>42699.333333333299</v>
      </c>
      <c r="D29" s="9">
        <v>42699.708333333299</v>
      </c>
      <c r="E29" s="12" t="s">
        <v>44</v>
      </c>
      <c r="F29" s="12"/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8">
        <v>42566.333333333299</v>
      </c>
      <c r="M29" s="3" t="s">
        <v>186</v>
      </c>
      <c r="N29" s="10">
        <v>0</v>
      </c>
      <c r="O29" s="10">
        <v>0</v>
      </c>
      <c r="P29" s="12" t="s">
        <v>161</v>
      </c>
      <c r="Q29" s="10">
        <v>0</v>
      </c>
      <c r="R29" s="14">
        <v>0</v>
      </c>
      <c r="S29" s="11">
        <v>0</v>
      </c>
      <c r="T29" s="10">
        <v>0</v>
      </c>
      <c r="U29" s="15">
        <v>1</v>
      </c>
      <c r="V29" s="12" t="s">
        <v>162</v>
      </c>
      <c r="W29" s="10">
        <v>0</v>
      </c>
      <c r="X29" s="10">
        <v>0</v>
      </c>
    </row>
    <row r="30" spans="1:24" ht="22" x14ac:dyDescent="0.35">
      <c r="A30" s="4">
        <v>40</v>
      </c>
      <c r="B30" s="4" t="s">
        <v>81</v>
      </c>
      <c r="C30" s="5">
        <v>42702.333333333299</v>
      </c>
      <c r="D30" s="5">
        <v>42758.708333333299</v>
      </c>
      <c r="E30" s="2" t="s">
        <v>83</v>
      </c>
      <c r="F30" s="2"/>
      <c r="G30" s="6"/>
      <c r="H30" s="6">
        <v>0</v>
      </c>
      <c r="I30" s="6"/>
      <c r="J30" s="6"/>
      <c r="K30" s="6">
        <v>1056833.33333333</v>
      </c>
      <c r="L30" s="2"/>
      <c r="M30" s="2" t="s">
        <v>231</v>
      </c>
      <c r="N30" s="6"/>
      <c r="O30" s="6"/>
      <c r="P30" s="2"/>
      <c r="Q30" s="6"/>
      <c r="R30" s="6"/>
      <c r="S30" s="6">
        <v>1037447.33333333</v>
      </c>
      <c r="T30" s="6"/>
      <c r="U30" s="13">
        <v>1</v>
      </c>
      <c r="V30" s="2"/>
      <c r="W30" s="6">
        <v>1056833.33333333</v>
      </c>
      <c r="X30" s="6">
        <v>1056833.33333333</v>
      </c>
    </row>
    <row r="31" spans="1:24" x14ac:dyDescent="0.35">
      <c r="A31" s="3">
        <v>23</v>
      </c>
      <c r="B31" s="3" t="s">
        <v>84</v>
      </c>
      <c r="C31" s="9">
        <v>42702.333333333299</v>
      </c>
      <c r="D31" s="9">
        <v>42744.708333333299</v>
      </c>
      <c r="E31" s="12" t="s">
        <v>86</v>
      </c>
      <c r="F31" s="12"/>
      <c r="G31" s="10">
        <v>0</v>
      </c>
      <c r="H31" s="10">
        <v>0</v>
      </c>
      <c r="I31" s="10">
        <v>4204.9731182795704</v>
      </c>
      <c r="J31" s="10">
        <v>1042833.33333333</v>
      </c>
      <c r="K31" s="10">
        <v>1042833.33333333</v>
      </c>
      <c r="L31" s="8">
        <v>42709.333333333299</v>
      </c>
      <c r="M31" s="3" t="s">
        <v>232</v>
      </c>
      <c r="N31" s="10">
        <v>7232553.7634408604</v>
      </c>
      <c r="O31" s="10">
        <v>0</v>
      </c>
      <c r="P31" s="12" t="s">
        <v>161</v>
      </c>
      <c r="Q31" s="10">
        <v>-6207786.4301075302</v>
      </c>
      <c r="R31" s="14">
        <v>0</v>
      </c>
      <c r="S31" s="11">
        <v>1024767.33333333</v>
      </c>
      <c r="T31" s="10">
        <v>0</v>
      </c>
      <c r="U31" s="15">
        <v>1</v>
      </c>
      <c r="V31" s="12" t="s">
        <v>162</v>
      </c>
      <c r="W31" s="10">
        <v>1042833.33333333</v>
      </c>
      <c r="X31" s="10">
        <v>1042833.33333333</v>
      </c>
    </row>
    <row r="32" spans="1:24" ht="22" x14ac:dyDescent="0.35">
      <c r="A32" s="3">
        <v>24</v>
      </c>
      <c r="B32" s="3" t="s">
        <v>87</v>
      </c>
      <c r="C32" s="9">
        <v>42733.333333333299</v>
      </c>
      <c r="D32" s="9">
        <v>42746.708333333299</v>
      </c>
      <c r="E32" s="12" t="s">
        <v>54</v>
      </c>
      <c r="F32" s="12"/>
      <c r="G32" s="10">
        <v>0</v>
      </c>
      <c r="H32" s="10">
        <v>0</v>
      </c>
      <c r="I32" s="10">
        <v>150</v>
      </c>
      <c r="J32" s="10">
        <v>12000</v>
      </c>
      <c r="K32" s="10">
        <v>12000</v>
      </c>
      <c r="L32" s="8">
        <v>42948.333333333299</v>
      </c>
      <c r="M32" s="3" t="s">
        <v>173</v>
      </c>
      <c r="N32" s="10">
        <v>52800</v>
      </c>
      <c r="O32" s="10">
        <v>0</v>
      </c>
      <c r="P32" s="12" t="s">
        <v>161</v>
      </c>
      <c r="Q32" s="10">
        <v>-40120</v>
      </c>
      <c r="R32" s="14">
        <v>0</v>
      </c>
      <c r="S32" s="11">
        <v>12680</v>
      </c>
      <c r="T32" s="10">
        <v>0</v>
      </c>
      <c r="U32" s="15">
        <v>1</v>
      </c>
      <c r="V32" s="12" t="s">
        <v>162</v>
      </c>
      <c r="W32" s="10">
        <v>12000</v>
      </c>
      <c r="X32" s="10">
        <v>12000</v>
      </c>
    </row>
    <row r="33" spans="1:24" x14ac:dyDescent="0.35">
      <c r="A33" s="3">
        <v>25</v>
      </c>
      <c r="B33" s="3" t="s">
        <v>77</v>
      </c>
      <c r="C33" s="9">
        <v>42747.333333333299</v>
      </c>
      <c r="D33" s="9">
        <v>42758.708333333299</v>
      </c>
      <c r="E33" s="12" t="s">
        <v>90</v>
      </c>
      <c r="F33" s="12"/>
      <c r="G33" s="10">
        <v>0</v>
      </c>
      <c r="H33" s="10">
        <v>0</v>
      </c>
      <c r="I33" s="10">
        <v>31.25</v>
      </c>
      <c r="J33" s="10">
        <v>2000</v>
      </c>
      <c r="K33" s="10">
        <v>2000</v>
      </c>
      <c r="L33" s="8">
        <v>42620.333333333299</v>
      </c>
      <c r="M33" s="3" t="s">
        <v>167</v>
      </c>
      <c r="N33" s="10">
        <v>5500</v>
      </c>
      <c r="O33" s="10">
        <v>0</v>
      </c>
      <c r="P33" s="12" t="s">
        <v>161</v>
      </c>
      <c r="Q33" s="10">
        <v>-5500</v>
      </c>
      <c r="R33" s="14">
        <v>0</v>
      </c>
      <c r="S33" s="11">
        <v>0</v>
      </c>
      <c r="T33" s="10">
        <v>0</v>
      </c>
      <c r="U33" s="15">
        <v>1</v>
      </c>
      <c r="V33" s="12" t="s">
        <v>162</v>
      </c>
      <c r="W33" s="10">
        <v>2000</v>
      </c>
      <c r="X33" s="10">
        <v>2000</v>
      </c>
    </row>
    <row r="34" spans="1:24" x14ac:dyDescent="0.35">
      <c r="A34" s="3">
        <v>26</v>
      </c>
      <c r="B34" s="3" t="s">
        <v>79</v>
      </c>
      <c r="C34" s="9">
        <v>42758.333333333299</v>
      </c>
      <c r="D34" s="9">
        <v>42758.708333333299</v>
      </c>
      <c r="E34" s="12" t="s">
        <v>44</v>
      </c>
      <c r="F34" s="12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8">
        <v>42620.333333333299</v>
      </c>
      <c r="M34" s="3" t="s">
        <v>167</v>
      </c>
      <c r="N34" s="10">
        <v>0</v>
      </c>
      <c r="O34" s="10">
        <v>0</v>
      </c>
      <c r="P34" s="12" t="s">
        <v>161</v>
      </c>
      <c r="Q34" s="10">
        <v>0</v>
      </c>
      <c r="R34" s="14">
        <v>0</v>
      </c>
      <c r="S34" s="11">
        <v>0</v>
      </c>
      <c r="T34" s="10">
        <v>0</v>
      </c>
      <c r="U34" s="15">
        <v>1</v>
      </c>
      <c r="V34" s="12" t="s">
        <v>162</v>
      </c>
      <c r="W34" s="10">
        <v>0</v>
      </c>
      <c r="X34" s="10">
        <v>0</v>
      </c>
    </row>
    <row r="35" spans="1:24" ht="22" x14ac:dyDescent="0.35">
      <c r="A35" s="4">
        <v>41</v>
      </c>
      <c r="B35" s="4" t="s">
        <v>92</v>
      </c>
      <c r="C35" s="5">
        <v>42759.333333333299</v>
      </c>
      <c r="D35" s="5">
        <v>42895.708333333299</v>
      </c>
      <c r="E35" s="2" t="s">
        <v>94</v>
      </c>
      <c r="F35" s="2"/>
      <c r="G35" s="6"/>
      <c r="H35" s="6">
        <v>0</v>
      </c>
      <c r="I35" s="6"/>
      <c r="J35" s="6"/>
      <c r="K35" s="6">
        <v>2113666.6666666698</v>
      </c>
      <c r="L35" s="2"/>
      <c r="M35" s="2" t="s">
        <v>237</v>
      </c>
      <c r="N35" s="6"/>
      <c r="O35" s="6"/>
      <c r="P35" s="2"/>
      <c r="Q35" s="6"/>
      <c r="R35" s="6"/>
      <c r="S35" s="6">
        <v>2074894.66666667</v>
      </c>
      <c r="T35" s="6"/>
      <c r="U35" s="13">
        <v>1</v>
      </c>
      <c r="V35" s="2"/>
      <c r="W35" s="6">
        <v>2113666.6666666698</v>
      </c>
      <c r="X35" s="6">
        <v>2113666.6666666698</v>
      </c>
    </row>
    <row r="36" spans="1:24" x14ac:dyDescent="0.35">
      <c r="A36" s="3">
        <v>27</v>
      </c>
      <c r="B36" s="3" t="s">
        <v>95</v>
      </c>
      <c r="C36" s="9">
        <v>42759.333333333299</v>
      </c>
      <c r="D36" s="9">
        <v>42776.708333333299</v>
      </c>
      <c r="E36" s="12" t="s">
        <v>97</v>
      </c>
      <c r="F36" s="12"/>
      <c r="G36" s="10">
        <v>0</v>
      </c>
      <c r="H36" s="10">
        <v>0</v>
      </c>
      <c r="I36" s="10">
        <v>107.142857142857</v>
      </c>
      <c r="J36" s="10">
        <v>12000</v>
      </c>
      <c r="K36" s="10">
        <v>12000</v>
      </c>
      <c r="L36" s="8">
        <v>43009.333333333299</v>
      </c>
      <c r="M36" s="3" t="s">
        <v>238</v>
      </c>
      <c r="N36" s="10">
        <v>38571.428571428602</v>
      </c>
      <c r="O36" s="10">
        <v>0</v>
      </c>
      <c r="P36" s="12" t="s">
        <v>161</v>
      </c>
      <c r="Q36" s="10">
        <v>-27584.428571428602</v>
      </c>
      <c r="R36" s="14">
        <v>0</v>
      </c>
      <c r="S36" s="11">
        <v>10987</v>
      </c>
      <c r="T36" s="10">
        <v>0</v>
      </c>
      <c r="U36" s="15">
        <v>1</v>
      </c>
      <c r="V36" s="12" t="s">
        <v>162</v>
      </c>
      <c r="W36" s="10">
        <v>12000</v>
      </c>
      <c r="X36" s="10">
        <v>12000</v>
      </c>
    </row>
    <row r="37" spans="1:24" x14ac:dyDescent="0.35">
      <c r="A37" s="3">
        <v>28</v>
      </c>
      <c r="B37" s="3" t="s">
        <v>98</v>
      </c>
      <c r="C37" s="9">
        <v>42776.333333333299</v>
      </c>
      <c r="D37" s="9">
        <v>42776.708333333299</v>
      </c>
      <c r="E37" s="12" t="s">
        <v>44</v>
      </c>
      <c r="F37" s="12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8">
        <v>43040.333333333299</v>
      </c>
      <c r="M37" s="3" t="s">
        <v>238</v>
      </c>
      <c r="N37" s="10">
        <v>0</v>
      </c>
      <c r="O37" s="10">
        <v>0</v>
      </c>
      <c r="P37" s="12" t="s">
        <v>161</v>
      </c>
      <c r="Q37" s="10">
        <v>0</v>
      </c>
      <c r="R37" s="14">
        <v>0</v>
      </c>
      <c r="S37" s="11">
        <v>0</v>
      </c>
      <c r="T37" s="10">
        <v>0</v>
      </c>
      <c r="U37" s="15">
        <v>1</v>
      </c>
      <c r="V37" s="12" t="s">
        <v>162</v>
      </c>
      <c r="W37" s="10">
        <v>0</v>
      </c>
      <c r="X37" s="10">
        <v>0</v>
      </c>
    </row>
    <row r="38" spans="1:24" x14ac:dyDescent="0.35">
      <c r="A38" s="3">
        <v>29</v>
      </c>
      <c r="B38" s="3" t="s">
        <v>100</v>
      </c>
      <c r="C38" s="9">
        <v>42761.333333333299</v>
      </c>
      <c r="D38" s="9">
        <v>42775.708333333299</v>
      </c>
      <c r="E38" s="12" t="s">
        <v>102</v>
      </c>
      <c r="F38" s="12"/>
      <c r="G38" s="10">
        <v>0</v>
      </c>
      <c r="H38" s="10">
        <v>0</v>
      </c>
      <c r="I38" s="10">
        <v>1079.54545454545</v>
      </c>
      <c r="J38" s="10">
        <v>95000</v>
      </c>
      <c r="K38" s="10">
        <v>95000</v>
      </c>
      <c r="L38" s="8">
        <v>43009.333333333299</v>
      </c>
      <c r="M38" s="3" t="s">
        <v>192</v>
      </c>
      <c r="N38" s="10">
        <v>198636.363636364</v>
      </c>
      <c r="O38" s="10">
        <v>0</v>
      </c>
      <c r="P38" s="12" t="s">
        <v>161</v>
      </c>
      <c r="Q38" s="10">
        <v>-108636.363636364</v>
      </c>
      <c r="R38" s="14">
        <v>0</v>
      </c>
      <c r="S38" s="11">
        <v>90000</v>
      </c>
      <c r="T38" s="10">
        <v>0</v>
      </c>
      <c r="U38" s="15">
        <v>1</v>
      </c>
      <c r="V38" s="12" t="s">
        <v>162</v>
      </c>
      <c r="W38" s="10">
        <v>95000</v>
      </c>
      <c r="X38" s="10">
        <v>95000</v>
      </c>
    </row>
    <row r="39" spans="1:24" x14ac:dyDescent="0.35">
      <c r="A39" s="3">
        <v>30</v>
      </c>
      <c r="B39" s="3" t="s">
        <v>103</v>
      </c>
      <c r="C39" s="9">
        <v>42776.333333333299</v>
      </c>
      <c r="D39" s="9">
        <v>42881.708333333299</v>
      </c>
      <c r="E39" s="12" t="s">
        <v>105</v>
      </c>
      <c r="F39" s="12"/>
      <c r="G39" s="10">
        <v>0</v>
      </c>
      <c r="H39" s="10">
        <v>0</v>
      </c>
      <c r="I39" s="10">
        <v>3256.0307017543901</v>
      </c>
      <c r="J39" s="10">
        <v>1979666.66666667</v>
      </c>
      <c r="K39" s="10">
        <v>1979666.66666667</v>
      </c>
      <c r="L39" s="8">
        <v>43009.333333333299</v>
      </c>
      <c r="M39" s="3" t="s">
        <v>240</v>
      </c>
      <c r="N39" s="10">
        <v>1719184.2105263199</v>
      </c>
      <c r="O39" s="10">
        <v>0</v>
      </c>
      <c r="P39" s="12" t="s">
        <v>161</v>
      </c>
      <c r="Q39" s="10">
        <v>236223.45614035099</v>
      </c>
      <c r="R39" s="14">
        <v>0</v>
      </c>
      <c r="S39" s="11">
        <v>1955407.66666667</v>
      </c>
      <c r="T39" s="10">
        <v>0</v>
      </c>
      <c r="U39" s="15">
        <v>1</v>
      </c>
      <c r="V39" s="12" t="s">
        <v>162</v>
      </c>
      <c r="W39" s="10">
        <v>1979666.66666667</v>
      </c>
      <c r="X39" s="10">
        <v>1979666.66666667</v>
      </c>
    </row>
    <row r="40" spans="1:24" ht="22" x14ac:dyDescent="0.35">
      <c r="A40" s="3">
        <v>31</v>
      </c>
      <c r="B40" s="3" t="s">
        <v>106</v>
      </c>
      <c r="C40" s="9">
        <v>42871.333333333299</v>
      </c>
      <c r="D40" s="9">
        <v>42881.708333333299</v>
      </c>
      <c r="E40" s="12" t="s">
        <v>108</v>
      </c>
      <c r="F40" s="12"/>
      <c r="G40" s="10">
        <v>0</v>
      </c>
      <c r="H40" s="10">
        <v>0</v>
      </c>
      <c r="I40" s="10">
        <v>347.222222222222</v>
      </c>
      <c r="J40" s="10">
        <v>25000</v>
      </c>
      <c r="K40" s="10">
        <v>25000</v>
      </c>
      <c r="L40" s="8">
        <v>43070.333333333299</v>
      </c>
      <c r="M40" s="3" t="s">
        <v>167</v>
      </c>
      <c r="N40" s="10">
        <v>61111.111111111102</v>
      </c>
      <c r="O40" s="10">
        <v>0</v>
      </c>
      <c r="P40" s="12" t="s">
        <v>161</v>
      </c>
      <c r="Q40" s="10">
        <v>-42611.111111111102</v>
      </c>
      <c r="R40" s="14">
        <v>0</v>
      </c>
      <c r="S40" s="11">
        <v>18500</v>
      </c>
      <c r="T40" s="10">
        <v>0</v>
      </c>
      <c r="U40" s="15">
        <v>1</v>
      </c>
      <c r="V40" s="12" t="s">
        <v>162</v>
      </c>
      <c r="W40" s="10">
        <v>25000</v>
      </c>
      <c r="X40" s="10">
        <v>25000</v>
      </c>
    </row>
    <row r="41" spans="1:24" x14ac:dyDescent="0.35">
      <c r="A41" s="3">
        <v>32</v>
      </c>
      <c r="B41" s="3" t="s">
        <v>77</v>
      </c>
      <c r="C41" s="9">
        <v>42881.333333333299</v>
      </c>
      <c r="D41" s="9">
        <v>42895.708333333299</v>
      </c>
      <c r="E41" s="12" t="s">
        <v>102</v>
      </c>
      <c r="F41" s="12"/>
      <c r="G41" s="10">
        <v>0</v>
      </c>
      <c r="H41" s="10">
        <v>0</v>
      </c>
      <c r="I41" s="10">
        <v>22.727272727272702</v>
      </c>
      <c r="J41" s="10">
        <v>2000</v>
      </c>
      <c r="K41" s="10">
        <v>2000</v>
      </c>
      <c r="L41" s="8">
        <v>43070.333333333299</v>
      </c>
      <c r="M41" s="3" t="s">
        <v>167</v>
      </c>
      <c r="N41" s="10">
        <v>4000</v>
      </c>
      <c r="O41" s="10">
        <v>0</v>
      </c>
      <c r="P41" s="12" t="s">
        <v>161</v>
      </c>
      <c r="Q41" s="10">
        <v>-4000</v>
      </c>
      <c r="R41" s="14">
        <v>0</v>
      </c>
      <c r="S41" s="11">
        <v>0</v>
      </c>
      <c r="T41" s="10">
        <v>0</v>
      </c>
      <c r="U41" s="15">
        <v>1</v>
      </c>
      <c r="V41" s="12" t="s">
        <v>162</v>
      </c>
      <c r="W41" s="10">
        <v>2000</v>
      </c>
      <c r="X41" s="10">
        <v>2000</v>
      </c>
    </row>
    <row r="42" spans="1:24" x14ac:dyDescent="0.35">
      <c r="A42" s="3">
        <v>33</v>
      </c>
      <c r="B42" s="3" t="s">
        <v>110</v>
      </c>
      <c r="C42" s="9">
        <v>42895.333333333299</v>
      </c>
      <c r="D42" s="9">
        <v>42895.708333333299</v>
      </c>
      <c r="E42" s="12" t="s">
        <v>44</v>
      </c>
      <c r="F42" s="12"/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8">
        <v>43101.333333333299</v>
      </c>
      <c r="M42" s="3" t="s">
        <v>44</v>
      </c>
      <c r="N42" s="10">
        <v>0</v>
      </c>
      <c r="O42" s="10">
        <v>0</v>
      </c>
      <c r="P42" s="12" t="s">
        <v>161</v>
      </c>
      <c r="Q42" s="10">
        <v>0</v>
      </c>
      <c r="R42" s="14">
        <v>0</v>
      </c>
      <c r="S42" s="11">
        <v>0</v>
      </c>
      <c r="T42" s="10">
        <v>0</v>
      </c>
      <c r="U42" s="15">
        <v>1</v>
      </c>
      <c r="V42" s="12" t="s">
        <v>162</v>
      </c>
      <c r="W42" s="10">
        <v>0</v>
      </c>
      <c r="X4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8"/>
  <sheetViews>
    <sheetView workbookViewId="0">
      <selection sqref="A1:B1"/>
    </sheetView>
  </sheetViews>
  <sheetFormatPr baseColWidth="10" defaultColWidth="8.81640625"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x14ac:dyDescent="0.35">
      <c r="A1" s="29" t="s">
        <v>241</v>
      </c>
      <c r="B1" s="29"/>
      <c r="D1" s="29" t="s">
        <v>242</v>
      </c>
      <c r="E1" s="29"/>
      <c r="G1" s="1" t="s">
        <v>243</v>
      </c>
    </row>
    <row r="2" spans="1:7" x14ac:dyDescent="0.35">
      <c r="A2" s="12" t="s">
        <v>244</v>
      </c>
      <c r="B2" s="16" t="s">
        <v>245</v>
      </c>
      <c r="D2" s="12" t="s">
        <v>271</v>
      </c>
      <c r="E2" s="17" t="s">
        <v>254</v>
      </c>
    </row>
    <row r="3" spans="1:7" x14ac:dyDescent="0.35">
      <c r="A3" s="12" t="s">
        <v>246</v>
      </c>
      <c r="B3" s="16" t="s">
        <v>245</v>
      </c>
      <c r="D3" s="12" t="s">
        <v>272</v>
      </c>
      <c r="E3" s="17" t="s">
        <v>254</v>
      </c>
    </row>
    <row r="4" spans="1:7" x14ac:dyDescent="0.35">
      <c r="A4" s="12" t="s">
        <v>247</v>
      </c>
      <c r="B4" s="16" t="s">
        <v>245</v>
      </c>
      <c r="D4" s="12" t="s">
        <v>273</v>
      </c>
      <c r="E4" s="17" t="s">
        <v>254</v>
      </c>
    </row>
    <row r="5" spans="1:7" x14ac:dyDescent="0.35">
      <c r="A5" s="12" t="s">
        <v>248</v>
      </c>
      <c r="B5" s="16" t="s">
        <v>245</v>
      </c>
      <c r="D5" s="12" t="s">
        <v>274</v>
      </c>
      <c r="E5" s="17" t="s">
        <v>254</v>
      </c>
    </row>
    <row r="6" spans="1:7" x14ac:dyDescent="0.35">
      <c r="A6" s="12" t="s">
        <v>249</v>
      </c>
      <c r="B6" s="16" t="s">
        <v>245</v>
      </c>
      <c r="D6" s="12" t="s">
        <v>275</v>
      </c>
      <c r="E6" s="17" t="s">
        <v>254</v>
      </c>
    </row>
    <row r="7" spans="1:7" x14ac:dyDescent="0.35">
      <c r="A7" s="12" t="s">
        <v>250</v>
      </c>
      <c r="B7" s="16" t="s">
        <v>245</v>
      </c>
      <c r="D7" s="12" t="s">
        <v>276</v>
      </c>
      <c r="E7" s="16" t="s">
        <v>245</v>
      </c>
    </row>
    <row r="8" spans="1:7" x14ac:dyDescent="0.35">
      <c r="A8" s="12" t="s">
        <v>251</v>
      </c>
      <c r="B8" s="16" t="s">
        <v>245</v>
      </c>
      <c r="D8" s="12" t="s">
        <v>277</v>
      </c>
      <c r="E8" s="16" t="s">
        <v>245</v>
      </c>
    </row>
    <row r="9" spans="1:7" x14ac:dyDescent="0.35">
      <c r="A9" s="12" t="s">
        <v>252</v>
      </c>
      <c r="B9" s="16" t="s">
        <v>245</v>
      </c>
    </row>
    <row r="10" spans="1:7" x14ac:dyDescent="0.35">
      <c r="A10" s="12" t="s">
        <v>253</v>
      </c>
      <c r="B10" s="17" t="s">
        <v>254</v>
      </c>
    </row>
    <row r="11" spans="1:7" x14ac:dyDescent="0.35">
      <c r="A11" s="12" t="s">
        <v>255</v>
      </c>
      <c r="B11" s="17" t="s">
        <v>254</v>
      </c>
    </row>
    <row r="12" spans="1:7" x14ac:dyDescent="0.35">
      <c r="A12" s="12" t="s">
        <v>256</v>
      </c>
      <c r="B12" s="17" t="s">
        <v>254</v>
      </c>
    </row>
    <row r="13" spans="1:7" x14ac:dyDescent="0.35">
      <c r="A13" s="12" t="s">
        <v>257</v>
      </c>
      <c r="B13" s="17" t="s">
        <v>254</v>
      </c>
    </row>
    <row r="14" spans="1:7" x14ac:dyDescent="0.35">
      <c r="A14" s="12" t="s">
        <v>258</v>
      </c>
      <c r="B14" s="16" t="s">
        <v>245</v>
      </c>
    </row>
    <row r="15" spans="1:7" x14ac:dyDescent="0.35">
      <c r="A15" s="12" t="s">
        <v>259</v>
      </c>
      <c r="B15" s="17" t="s">
        <v>254</v>
      </c>
    </row>
    <row r="16" spans="1:7" x14ac:dyDescent="0.35">
      <c r="A16" s="12" t="s">
        <v>260</v>
      </c>
      <c r="B16" s="17" t="s">
        <v>254</v>
      </c>
    </row>
    <row r="17" spans="1:2" x14ac:dyDescent="0.35">
      <c r="A17" s="12" t="s">
        <v>261</v>
      </c>
      <c r="B17" s="17" t="s">
        <v>254</v>
      </c>
    </row>
    <row r="18" spans="1:2" x14ac:dyDescent="0.35">
      <c r="A18" s="12" t="s">
        <v>262</v>
      </c>
      <c r="B18" s="17" t="s">
        <v>254</v>
      </c>
    </row>
    <row r="19" spans="1:2" x14ac:dyDescent="0.35">
      <c r="A19" s="12" t="s">
        <v>263</v>
      </c>
      <c r="B19" s="16" t="s">
        <v>245</v>
      </c>
    </row>
    <row r="20" spans="1:2" x14ac:dyDescent="0.35">
      <c r="A20" s="12" t="s">
        <v>264</v>
      </c>
      <c r="B20" s="16" t="s">
        <v>245</v>
      </c>
    </row>
    <row r="21" spans="1:2" x14ac:dyDescent="0.35">
      <c r="A21" s="12" t="s">
        <v>265</v>
      </c>
      <c r="B21" s="16" t="s">
        <v>245</v>
      </c>
    </row>
    <row r="22" spans="1:2" x14ac:dyDescent="0.35">
      <c r="A22" s="12" t="s">
        <v>266</v>
      </c>
      <c r="B22" s="16" t="s">
        <v>245</v>
      </c>
    </row>
    <row r="23" spans="1:2" x14ac:dyDescent="0.35">
      <c r="A23" s="12" t="s">
        <v>267</v>
      </c>
      <c r="B23" s="16" t="s">
        <v>245</v>
      </c>
    </row>
    <row r="24" spans="1:2" x14ac:dyDescent="0.35">
      <c r="A24" s="12" t="s">
        <v>268</v>
      </c>
      <c r="B24" s="16" t="s">
        <v>245</v>
      </c>
    </row>
    <row r="25" spans="1:2" x14ac:dyDescent="0.35">
      <c r="A25" s="12" t="s">
        <v>269</v>
      </c>
      <c r="B25" s="16" t="s">
        <v>245</v>
      </c>
    </row>
    <row r="28" spans="1:2" x14ac:dyDescent="0.35">
      <c r="A28" s="18" t="s">
        <v>270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26"/>
  <sheetViews>
    <sheetView workbookViewId="0">
      <selection sqref="A1:C26"/>
    </sheetView>
  </sheetViews>
  <sheetFormatPr baseColWidth="10" defaultColWidth="8.81640625" defaultRowHeight="14.5" x14ac:dyDescent="0.35"/>
  <cols>
    <col min="1" max="14" width="15.6328125" customWidth="1"/>
    <col min="15" max="31" width="17.6328125" customWidth="1"/>
  </cols>
  <sheetData>
    <row r="1" spans="1:35" x14ac:dyDescent="0.35">
      <c r="A1" s="29" t="s">
        <v>0</v>
      </c>
      <c r="B1" s="29"/>
      <c r="C1" s="29"/>
      <c r="D1" s="29" t="s">
        <v>278</v>
      </c>
      <c r="E1" s="29"/>
      <c r="F1" s="29"/>
      <c r="G1" s="29"/>
      <c r="H1" s="29" t="s">
        <v>279</v>
      </c>
      <c r="I1" s="29"/>
      <c r="J1" s="29"/>
      <c r="K1" s="29"/>
      <c r="L1" s="29"/>
      <c r="M1" s="29"/>
      <c r="N1" s="29"/>
    </row>
    <row r="2" spans="1:35" ht="30" customHeight="1" x14ac:dyDescent="0.35">
      <c r="A2" s="1" t="s">
        <v>6</v>
      </c>
      <c r="B2" s="1" t="s">
        <v>280</v>
      </c>
      <c r="C2" s="1" t="s">
        <v>281</v>
      </c>
      <c r="D2" s="1" t="s">
        <v>158</v>
      </c>
      <c r="E2" s="1" t="s">
        <v>157</v>
      </c>
      <c r="F2" s="1" t="s">
        <v>282</v>
      </c>
      <c r="G2" s="1" t="s">
        <v>283</v>
      </c>
      <c r="H2" s="1" t="s">
        <v>284</v>
      </c>
      <c r="I2" s="1" t="s">
        <v>285</v>
      </c>
      <c r="J2" s="1" t="s">
        <v>286</v>
      </c>
      <c r="K2" s="1" t="s">
        <v>287</v>
      </c>
      <c r="L2" s="1" t="s">
        <v>288</v>
      </c>
      <c r="M2" s="1" t="s">
        <v>289</v>
      </c>
      <c r="N2" s="1" t="s">
        <v>290</v>
      </c>
      <c r="O2" s="1" t="s">
        <v>291</v>
      </c>
      <c r="P2" s="1" t="s">
        <v>292</v>
      </c>
      <c r="Q2" s="1" t="s">
        <v>293</v>
      </c>
      <c r="R2" s="1" t="s">
        <v>294</v>
      </c>
      <c r="S2" s="1" t="s">
        <v>295</v>
      </c>
      <c r="T2" s="1" t="s">
        <v>295</v>
      </c>
      <c r="U2" s="1" t="s">
        <v>296</v>
      </c>
      <c r="V2" s="1" t="s">
        <v>297</v>
      </c>
      <c r="W2" s="1" t="s">
        <v>298</v>
      </c>
      <c r="X2" s="1" t="s">
        <v>299</v>
      </c>
      <c r="Y2" s="1" t="s">
        <v>300</v>
      </c>
      <c r="Z2" s="1" t="s">
        <v>301</v>
      </c>
      <c r="AA2" s="1" t="s">
        <v>302</v>
      </c>
      <c r="AB2" s="1" t="s">
        <v>303</v>
      </c>
      <c r="AC2" s="1" t="s">
        <v>304</v>
      </c>
      <c r="AD2" s="1" t="s">
        <v>305</v>
      </c>
      <c r="AE2" s="1" t="s">
        <v>306</v>
      </c>
      <c r="AF2" s="1" t="s">
        <v>329</v>
      </c>
      <c r="AH2" s="1" t="s">
        <v>330</v>
      </c>
      <c r="AI2" s="1" t="s">
        <v>290</v>
      </c>
    </row>
    <row r="3" spans="1:35" x14ac:dyDescent="0.35">
      <c r="A3" s="12" t="s">
        <v>159</v>
      </c>
      <c r="B3" s="9">
        <v>42375.333333333299</v>
      </c>
      <c r="C3" s="9">
        <v>42401.708333333299</v>
      </c>
      <c r="D3" s="10">
        <v>36335.714285714297</v>
      </c>
      <c r="E3" s="10">
        <v>172050</v>
      </c>
      <c r="F3" s="10">
        <v>124492.5</v>
      </c>
      <c r="G3" s="9">
        <v>42415.5</v>
      </c>
      <c r="H3" s="10">
        <v>135714.285714286</v>
      </c>
      <c r="I3" s="19">
        <v>4.7350108118733996</v>
      </c>
      <c r="J3" s="10">
        <v>47557.5</v>
      </c>
      <c r="K3" s="19">
        <v>1.38201096451593</v>
      </c>
      <c r="L3" s="12" t="s">
        <v>307</v>
      </c>
      <c r="M3" s="19">
        <v>1.5</v>
      </c>
      <c r="N3" s="19">
        <v>1</v>
      </c>
      <c r="O3" s="9">
        <v>42880.416666666701</v>
      </c>
      <c r="P3" s="9">
        <v>42485.625</v>
      </c>
      <c r="Q3" s="9">
        <v>42453.708333333299</v>
      </c>
      <c r="R3" s="9">
        <v>42796.708333333299</v>
      </c>
      <c r="S3" s="9">
        <v>42485.625</v>
      </c>
      <c r="T3" s="9">
        <v>42461.416666666701</v>
      </c>
      <c r="U3" s="9">
        <v>42884.5</v>
      </c>
      <c r="V3" s="9">
        <v>42723.583333333299</v>
      </c>
      <c r="W3" s="9">
        <v>42634.375</v>
      </c>
      <c r="X3" s="10">
        <v>4271392.5000001499</v>
      </c>
      <c r="Y3" s="10">
        <v>3125119.9237141502</v>
      </c>
      <c r="Z3" s="10">
        <v>1000287.75470174</v>
      </c>
      <c r="AA3" s="10">
        <v>2889092.5000001001</v>
      </c>
      <c r="AB3" s="10">
        <v>758203.28608518501</v>
      </c>
      <c r="AC3" s="10">
        <v>2124910.7824761001</v>
      </c>
      <c r="AD3" s="10">
        <v>2144797.4352096799</v>
      </c>
      <c r="AE3" s="10">
        <v>3074744.43620707</v>
      </c>
      <c r="AF3" s="7">
        <v>1.5</v>
      </c>
      <c r="AH3" s="7">
        <v>4.7350108118733996</v>
      </c>
      <c r="AI3" s="7">
        <v>1</v>
      </c>
    </row>
    <row r="4" spans="1:35" x14ac:dyDescent="0.35">
      <c r="A4" s="12" t="s">
        <v>165</v>
      </c>
      <c r="B4" s="9">
        <v>42401.708333333299</v>
      </c>
      <c r="C4" s="9">
        <v>42430.708333333299</v>
      </c>
      <c r="D4" s="10">
        <v>322050</v>
      </c>
      <c r="E4" s="10">
        <v>322050</v>
      </c>
      <c r="F4" s="10">
        <v>226935</v>
      </c>
      <c r="G4" s="9">
        <v>42430.708333333299</v>
      </c>
      <c r="H4" s="10">
        <v>0</v>
      </c>
      <c r="I4" s="19">
        <v>1</v>
      </c>
      <c r="J4" s="10">
        <v>95115</v>
      </c>
      <c r="K4" s="19">
        <v>1.4191288254345999</v>
      </c>
      <c r="L4" s="12" t="s">
        <v>161</v>
      </c>
      <c r="M4" s="19">
        <v>1</v>
      </c>
      <c r="N4" s="19">
        <v>1</v>
      </c>
      <c r="O4" s="9">
        <v>42895.708333333299</v>
      </c>
      <c r="P4" s="9">
        <v>42895.708333333299</v>
      </c>
      <c r="Q4" s="9">
        <v>42741.666666666701</v>
      </c>
      <c r="R4" s="9">
        <v>42895.708333333299</v>
      </c>
      <c r="S4" s="9">
        <v>42895.708333333299</v>
      </c>
      <c r="T4" s="9">
        <v>42759.583333333299</v>
      </c>
      <c r="U4" s="9">
        <v>42895.708333333299</v>
      </c>
      <c r="V4" s="9">
        <v>42895.708333333299</v>
      </c>
      <c r="W4" s="9">
        <v>42759.583333333299</v>
      </c>
      <c r="X4" s="10">
        <v>4223835.0000001499</v>
      </c>
      <c r="Y4" s="10">
        <v>3043381.2086633602</v>
      </c>
      <c r="Z4" s="10">
        <v>4223835.0000001499</v>
      </c>
      <c r="AA4" s="10">
        <v>4223835.0000001499</v>
      </c>
      <c r="AB4" s="10">
        <v>3043381.2086633602</v>
      </c>
      <c r="AC4" s="10">
        <v>3043381.2086633602</v>
      </c>
      <c r="AD4" s="10">
        <v>3220188.0814087</v>
      </c>
      <c r="AE4" s="10">
        <v>3220188.0814087</v>
      </c>
      <c r="AF4" s="7">
        <v>1</v>
      </c>
      <c r="AH4" s="7">
        <v>1</v>
      </c>
      <c r="AI4" s="7">
        <v>1</v>
      </c>
    </row>
    <row r="5" spans="1:35" x14ac:dyDescent="0.35">
      <c r="A5" s="12" t="s">
        <v>168</v>
      </c>
      <c r="B5" s="9">
        <v>42430.708333333299</v>
      </c>
      <c r="C5" s="9">
        <v>42475.708333333299</v>
      </c>
      <c r="D5" s="10">
        <v>332450</v>
      </c>
      <c r="E5" s="10">
        <v>355800</v>
      </c>
      <c r="F5" s="10">
        <v>260220</v>
      </c>
      <c r="G5" s="9">
        <v>42502.5</v>
      </c>
      <c r="H5" s="10">
        <v>23350</v>
      </c>
      <c r="I5" s="19">
        <v>1.07023612573319</v>
      </c>
      <c r="J5" s="10">
        <v>95580</v>
      </c>
      <c r="K5" s="19">
        <v>1.36730458842518</v>
      </c>
      <c r="L5" s="12" t="s">
        <v>308</v>
      </c>
      <c r="M5" s="19">
        <v>1.25342465753425</v>
      </c>
      <c r="N5" s="19">
        <v>1</v>
      </c>
      <c r="O5" s="9">
        <v>42893.708333333299</v>
      </c>
      <c r="P5" s="9">
        <v>42863.5</v>
      </c>
      <c r="Q5" s="9">
        <v>42731.666666666701</v>
      </c>
      <c r="R5" s="9">
        <v>42888.666666666701</v>
      </c>
      <c r="S5" s="9">
        <v>42863.5</v>
      </c>
      <c r="T5" s="9">
        <v>42759.5</v>
      </c>
      <c r="U5" s="9">
        <v>42871.5</v>
      </c>
      <c r="V5" s="9">
        <v>42790.583333333299</v>
      </c>
      <c r="W5" s="9">
        <v>42706.416666666701</v>
      </c>
      <c r="X5" s="10">
        <v>4223370.0000001499</v>
      </c>
      <c r="Y5" s="10">
        <v>3158732.9089377201</v>
      </c>
      <c r="Z5" s="10">
        <v>3963281.3195616901</v>
      </c>
      <c r="AA5" s="10">
        <v>3422077.3770492999</v>
      </c>
      <c r="AB5" s="10">
        <v>2968512.9077468901</v>
      </c>
      <c r="AC5" s="10">
        <v>2572694.7798082302</v>
      </c>
      <c r="AD5" s="10">
        <v>3290403.9491841099</v>
      </c>
      <c r="AE5" s="10">
        <v>3207833.0097767301</v>
      </c>
      <c r="AF5" s="7">
        <v>1.25342465753425</v>
      </c>
      <c r="AH5" s="7">
        <v>1.07023612573319</v>
      </c>
      <c r="AI5" s="7">
        <v>1</v>
      </c>
    </row>
    <row r="6" spans="1:35" x14ac:dyDescent="0.35">
      <c r="A6" s="12" t="s">
        <v>171</v>
      </c>
      <c r="B6" s="9">
        <v>42475.708333333299</v>
      </c>
      <c r="C6" s="9">
        <v>42491.708333333299</v>
      </c>
      <c r="D6" s="10">
        <v>337450</v>
      </c>
      <c r="E6" s="10">
        <v>371150</v>
      </c>
      <c r="F6" s="10">
        <v>276555</v>
      </c>
      <c r="G6" s="9">
        <v>42506.708333333299</v>
      </c>
      <c r="H6" s="10">
        <v>33700</v>
      </c>
      <c r="I6" s="19">
        <v>1.0998666469106499</v>
      </c>
      <c r="J6" s="10">
        <v>94595</v>
      </c>
      <c r="K6" s="19">
        <v>1.34204769394876</v>
      </c>
      <c r="L6" s="12" t="s">
        <v>102</v>
      </c>
      <c r="M6" s="19">
        <v>1.13253012048193</v>
      </c>
      <c r="N6" s="19">
        <v>1</v>
      </c>
      <c r="O6" s="9">
        <v>42893.375</v>
      </c>
      <c r="P6" s="9">
        <v>42850.375</v>
      </c>
      <c r="Q6" s="9">
        <v>42727.625</v>
      </c>
      <c r="R6" s="9">
        <v>42885.625</v>
      </c>
      <c r="S6" s="9">
        <v>42850.375</v>
      </c>
      <c r="T6" s="9">
        <v>42758.666666666701</v>
      </c>
      <c r="U6" s="9">
        <v>42880.708333333299</v>
      </c>
      <c r="V6" s="9">
        <v>42836.458333333299</v>
      </c>
      <c r="W6" s="9">
        <v>42747.583333333299</v>
      </c>
      <c r="X6" s="10">
        <v>4224355.0000001499</v>
      </c>
      <c r="Y6" s="10">
        <v>3218179.21931845</v>
      </c>
      <c r="Z6" s="10">
        <v>3865899.2274014601</v>
      </c>
      <c r="AA6" s="10">
        <v>3762378.4042554498</v>
      </c>
      <c r="AB6" s="10">
        <v>2951083.06899908</v>
      </c>
      <c r="AC6" s="10">
        <v>2873946.59790884</v>
      </c>
      <c r="AD6" s="10">
        <v>3328321.3511625999</v>
      </c>
      <c r="AE6" s="10">
        <v>3312987.4687905698</v>
      </c>
      <c r="AF6" s="7">
        <v>1.13253012048193</v>
      </c>
      <c r="AH6" s="7">
        <v>1.0998666469106499</v>
      </c>
      <c r="AI6" s="7">
        <v>1</v>
      </c>
    </row>
    <row r="7" spans="1:35" x14ac:dyDescent="0.35">
      <c r="A7" s="12" t="s">
        <v>174</v>
      </c>
      <c r="B7" s="9">
        <v>42491.708333333299</v>
      </c>
      <c r="C7" s="9">
        <v>42523.708333333299</v>
      </c>
      <c r="D7" s="10">
        <v>373650</v>
      </c>
      <c r="E7" s="10">
        <v>373650</v>
      </c>
      <c r="F7" s="10">
        <v>279055</v>
      </c>
      <c r="G7" s="9">
        <v>42523.708333333299</v>
      </c>
      <c r="H7" s="10">
        <v>0</v>
      </c>
      <c r="I7" s="19">
        <v>1</v>
      </c>
      <c r="J7" s="10">
        <v>94595</v>
      </c>
      <c r="K7" s="19">
        <v>1.3389833545358401</v>
      </c>
      <c r="L7" s="12" t="s">
        <v>161</v>
      </c>
      <c r="M7" s="19">
        <v>1</v>
      </c>
      <c r="N7" s="19">
        <v>1</v>
      </c>
      <c r="O7" s="9">
        <v>42895.708333333299</v>
      </c>
      <c r="P7" s="9">
        <v>42895.708333333299</v>
      </c>
      <c r="Q7" s="9">
        <v>42765.583333333299</v>
      </c>
      <c r="R7" s="9">
        <v>42895.708333333299</v>
      </c>
      <c r="S7" s="9">
        <v>42895.708333333299</v>
      </c>
      <c r="T7" s="9">
        <v>42802.583333333299</v>
      </c>
      <c r="U7" s="9">
        <v>42895.708333333299</v>
      </c>
      <c r="V7" s="9">
        <v>42895.708333333299</v>
      </c>
      <c r="W7" s="9">
        <v>42802.583333333299</v>
      </c>
      <c r="X7" s="10">
        <v>4224355.0000001499</v>
      </c>
      <c r="Y7" s="10">
        <v>3225544.2051386102</v>
      </c>
      <c r="Z7" s="10">
        <v>4224355.0000001499</v>
      </c>
      <c r="AA7" s="10">
        <v>4224355.0000001499</v>
      </c>
      <c r="AB7" s="10">
        <v>3225544.2051386102</v>
      </c>
      <c r="AC7" s="10">
        <v>3225544.2051386102</v>
      </c>
      <c r="AD7" s="10">
        <v>3382690.4068295201</v>
      </c>
      <c r="AE7" s="10">
        <v>3382690.4068295201</v>
      </c>
      <c r="AF7" s="7">
        <v>1</v>
      </c>
      <c r="AH7" s="7">
        <v>1</v>
      </c>
      <c r="AI7" s="7">
        <v>1</v>
      </c>
    </row>
    <row r="8" spans="1:35" x14ac:dyDescent="0.35">
      <c r="A8" s="12" t="s">
        <v>178</v>
      </c>
      <c r="B8" s="9">
        <v>42523.708333333299</v>
      </c>
      <c r="C8" s="9">
        <v>42551.708333333299</v>
      </c>
      <c r="D8" s="10">
        <v>378450</v>
      </c>
      <c r="E8" s="10">
        <v>470150</v>
      </c>
      <c r="F8" s="10">
        <v>386654.38500000001</v>
      </c>
      <c r="G8" s="9">
        <v>42593.666666666701</v>
      </c>
      <c r="H8" s="10">
        <v>91700</v>
      </c>
      <c r="I8" s="19">
        <v>1.2423041352886799</v>
      </c>
      <c r="J8" s="10">
        <v>83495.615000000005</v>
      </c>
      <c r="K8" s="19">
        <v>1.2159437943526701</v>
      </c>
      <c r="L8" s="12" t="s">
        <v>309</v>
      </c>
      <c r="M8" s="19">
        <v>1.2352362204724401</v>
      </c>
      <c r="N8" s="19">
        <v>0.78941530660751102</v>
      </c>
      <c r="O8" s="9">
        <v>42886.375</v>
      </c>
      <c r="P8" s="9">
        <v>42795.416666666701</v>
      </c>
      <c r="Q8" s="9">
        <v>42719.666666666701</v>
      </c>
      <c r="R8" s="9">
        <v>42853.416666666701</v>
      </c>
      <c r="S8" s="9">
        <v>42795.416666666701</v>
      </c>
      <c r="T8" s="9">
        <v>42752.5</v>
      </c>
      <c r="U8" s="9">
        <v>42856.375</v>
      </c>
      <c r="V8" s="9">
        <v>42796.708333333299</v>
      </c>
      <c r="W8" s="9">
        <v>42753.666666666701</v>
      </c>
      <c r="X8" s="10">
        <v>4235454.3850001497</v>
      </c>
      <c r="Y8" s="10">
        <v>3551932.26862875</v>
      </c>
      <c r="Z8" s="10">
        <v>3484768.5187872099</v>
      </c>
      <c r="AA8" s="10">
        <v>3502495.65990052</v>
      </c>
      <c r="AB8" s="10">
        <v>2934563.38225471</v>
      </c>
      <c r="AC8" s="10">
        <v>2949142.2971647899</v>
      </c>
      <c r="AD8" s="10">
        <v>3538267.5584445801</v>
      </c>
      <c r="AE8" s="10">
        <v>3541919.8443628098</v>
      </c>
      <c r="AF8" s="7">
        <v>1.2352362204724401</v>
      </c>
      <c r="AH8" s="7">
        <v>1.2423041352886799</v>
      </c>
      <c r="AI8" s="7">
        <v>0.78941530660751102</v>
      </c>
    </row>
    <row r="9" spans="1:35" x14ac:dyDescent="0.35">
      <c r="A9" s="12" t="s">
        <v>181</v>
      </c>
      <c r="B9" s="9">
        <v>42551.708333333299</v>
      </c>
      <c r="C9" s="9">
        <v>42566.708333333299</v>
      </c>
      <c r="D9" s="10">
        <v>378450</v>
      </c>
      <c r="E9" s="10">
        <v>470150</v>
      </c>
      <c r="F9" s="10">
        <v>386654.38500000001</v>
      </c>
      <c r="G9" s="9">
        <v>42593.666666666701</v>
      </c>
      <c r="H9" s="10">
        <v>91700</v>
      </c>
      <c r="I9" s="19">
        <v>1.2423041352886799</v>
      </c>
      <c r="J9" s="10">
        <v>83495.615000000005</v>
      </c>
      <c r="K9" s="19">
        <v>1.2159437943526701</v>
      </c>
      <c r="L9" s="12" t="s">
        <v>310</v>
      </c>
      <c r="M9" s="19">
        <v>1.1367753623188399</v>
      </c>
      <c r="N9" s="19">
        <v>0.78941530660751102</v>
      </c>
      <c r="O9" s="9">
        <v>42886.375</v>
      </c>
      <c r="P9" s="9">
        <v>42795.416666666701</v>
      </c>
      <c r="Q9" s="9">
        <v>42719.666666666701</v>
      </c>
      <c r="R9" s="9">
        <v>42850.5</v>
      </c>
      <c r="S9" s="9">
        <v>42795.416666666701</v>
      </c>
      <c r="T9" s="9">
        <v>42754.458333333299</v>
      </c>
      <c r="U9" s="9">
        <v>42871.375</v>
      </c>
      <c r="V9" s="9">
        <v>42835.375</v>
      </c>
      <c r="W9" s="9">
        <v>42787.458333333299</v>
      </c>
      <c r="X9" s="10">
        <v>4235454.3850001497</v>
      </c>
      <c r="Y9" s="10">
        <v>3551932.26862875</v>
      </c>
      <c r="Z9" s="10">
        <v>3484768.5187872099</v>
      </c>
      <c r="AA9" s="10">
        <v>3772371.6758367899</v>
      </c>
      <c r="AB9" s="10">
        <v>2934563.38225471</v>
      </c>
      <c r="AC9" s="10">
        <v>3171090.0690845801</v>
      </c>
      <c r="AD9" s="10">
        <v>3538267.5584445801</v>
      </c>
      <c r="AE9" s="10">
        <v>3593693.4512634301</v>
      </c>
      <c r="AF9" s="7">
        <v>1.1367753623188399</v>
      </c>
      <c r="AH9" s="7">
        <v>1.2423041352886799</v>
      </c>
      <c r="AI9" s="7">
        <v>0.78941530660751102</v>
      </c>
    </row>
    <row r="10" spans="1:35" x14ac:dyDescent="0.35">
      <c r="A10" s="12" t="s">
        <v>184</v>
      </c>
      <c r="B10" s="9">
        <v>42566.708333333299</v>
      </c>
      <c r="C10" s="9">
        <v>42620.708333333299</v>
      </c>
      <c r="D10" s="10">
        <v>635977.27272727306</v>
      </c>
      <c r="E10" s="10">
        <v>571850</v>
      </c>
      <c r="F10" s="10">
        <v>497453.77</v>
      </c>
      <c r="G10" s="9">
        <v>42618.666666666701</v>
      </c>
      <c r="H10" s="10">
        <v>-64127.272727272699</v>
      </c>
      <c r="I10" s="19">
        <v>0.89916735160633199</v>
      </c>
      <c r="J10" s="10">
        <v>74396.23</v>
      </c>
      <c r="K10" s="19">
        <v>1.1495540580585</v>
      </c>
      <c r="L10" s="12" t="s">
        <v>311</v>
      </c>
      <c r="M10" s="19">
        <v>0.98792613636363602</v>
      </c>
      <c r="N10" s="19">
        <v>0.66601635906541601</v>
      </c>
      <c r="O10" s="9">
        <v>42905.5</v>
      </c>
      <c r="P10" s="9">
        <v>42955.666666666701</v>
      </c>
      <c r="Q10" s="9">
        <v>42879.666666666701</v>
      </c>
      <c r="R10" s="9">
        <v>42921.625</v>
      </c>
      <c r="S10" s="9">
        <v>42955.666666666701</v>
      </c>
      <c r="T10" s="9">
        <v>42912.625</v>
      </c>
      <c r="U10" s="9">
        <v>42900.375</v>
      </c>
      <c r="V10" s="9">
        <v>42902.5</v>
      </c>
      <c r="W10" s="9">
        <v>42866.458333333299</v>
      </c>
      <c r="X10" s="10">
        <v>4244553.7700001504</v>
      </c>
      <c r="Y10" s="10">
        <v>3757065.5940221702</v>
      </c>
      <c r="Z10" s="10">
        <v>4664753.6539493902</v>
      </c>
      <c r="AA10" s="10">
        <v>4290348.6657586005</v>
      </c>
      <c r="AB10" s="10">
        <v>4122598.5422150702</v>
      </c>
      <c r="AC10" s="10">
        <v>3796902.6903617601</v>
      </c>
      <c r="AD10" s="10">
        <v>3905529.57811245</v>
      </c>
      <c r="AE10" s="10">
        <v>3851378.3146592798</v>
      </c>
      <c r="AF10" s="7">
        <v>0.98792613636363602</v>
      </c>
      <c r="AH10" s="7">
        <v>0.89916735160633199</v>
      </c>
      <c r="AI10" s="7">
        <v>0.66601635906541601</v>
      </c>
    </row>
    <row r="11" spans="1:35" x14ac:dyDescent="0.35">
      <c r="A11" s="12" t="s">
        <v>188</v>
      </c>
      <c r="B11" s="9">
        <v>42620.708333333299</v>
      </c>
      <c r="C11" s="9">
        <v>42649.708333333299</v>
      </c>
      <c r="D11" s="10">
        <v>1037668.18181818</v>
      </c>
      <c r="E11" s="10">
        <v>575450</v>
      </c>
      <c r="F11" s="10">
        <v>499053.77</v>
      </c>
      <c r="G11" s="9">
        <v>42618.708333333299</v>
      </c>
      <c r="H11" s="10">
        <v>-462218.181818182</v>
      </c>
      <c r="I11" s="19">
        <v>0.55456070647912503</v>
      </c>
      <c r="J11" s="10">
        <v>76396.23</v>
      </c>
      <c r="K11" s="19">
        <v>1.15308216186805</v>
      </c>
      <c r="L11" s="12" t="s">
        <v>312</v>
      </c>
      <c r="M11" s="19">
        <v>0.88324873096446699</v>
      </c>
      <c r="N11" s="19">
        <v>0.66509512364358803</v>
      </c>
      <c r="O11" s="9">
        <v>42951.666666666701</v>
      </c>
      <c r="P11" s="9">
        <v>43315.583333333299</v>
      </c>
      <c r="Q11" s="9">
        <v>43192.416666666701</v>
      </c>
      <c r="R11" s="9">
        <v>43019.625</v>
      </c>
      <c r="S11" s="9">
        <v>43315.583333333299</v>
      </c>
      <c r="T11" s="9">
        <v>43228.5</v>
      </c>
      <c r="U11" s="9">
        <v>42928.708333333299</v>
      </c>
      <c r="V11" s="9">
        <v>42965.416666666701</v>
      </c>
      <c r="W11" s="9">
        <v>42923.458333333299</v>
      </c>
      <c r="X11" s="10">
        <v>4242553.7700001504</v>
      </c>
      <c r="Y11" s="10">
        <v>3745570.0407360801</v>
      </c>
      <c r="Z11" s="10">
        <v>7249441.8812807696</v>
      </c>
      <c r="AA11" s="10">
        <v>4737384.2297702897</v>
      </c>
      <c r="AB11" s="10">
        <v>6353266.3617070997</v>
      </c>
      <c r="AC11" s="10">
        <v>4174707.2489368198</v>
      </c>
      <c r="AD11" s="10">
        <v>4121639.5692656199</v>
      </c>
      <c r="AE11" s="10">
        <v>3904974.33322303</v>
      </c>
      <c r="AF11" s="7">
        <v>0.88324873096446699</v>
      </c>
      <c r="AH11" s="7">
        <v>0.55456070647912503</v>
      </c>
      <c r="AI11" s="7">
        <v>0.66509512364358803</v>
      </c>
    </row>
    <row r="12" spans="1:35" x14ac:dyDescent="0.35">
      <c r="A12" s="12" t="s">
        <v>190</v>
      </c>
      <c r="B12" s="9">
        <v>42649.708333333299</v>
      </c>
      <c r="C12" s="9">
        <v>42681.708333333299</v>
      </c>
      <c r="D12" s="10">
        <v>1114868.18181818</v>
      </c>
      <c r="E12" s="10">
        <v>575450</v>
      </c>
      <c r="F12" s="10">
        <v>499053.77</v>
      </c>
      <c r="G12" s="9">
        <v>42618.708333333299</v>
      </c>
      <c r="H12" s="10">
        <v>-539418.181818182</v>
      </c>
      <c r="I12" s="19">
        <v>0.51615967643952998</v>
      </c>
      <c r="J12" s="10">
        <v>76396.23</v>
      </c>
      <c r="K12" s="19">
        <v>1.15308216186805</v>
      </c>
      <c r="L12" s="12" t="s">
        <v>313</v>
      </c>
      <c r="M12" s="19">
        <v>0.79452054794520499</v>
      </c>
      <c r="N12" s="19">
        <v>0.66509512364358803</v>
      </c>
      <c r="O12" s="9">
        <v>42962.583333333299</v>
      </c>
      <c r="P12" s="9">
        <v>43385.583333333299</v>
      </c>
      <c r="Q12" s="9">
        <v>43251.625</v>
      </c>
      <c r="R12" s="9">
        <v>43045.708333333299</v>
      </c>
      <c r="S12" s="9">
        <v>43385.583333333299</v>
      </c>
      <c r="T12" s="9">
        <v>43292.625</v>
      </c>
      <c r="U12" s="9">
        <v>42958.708333333299</v>
      </c>
      <c r="V12" s="9">
        <v>43032.5</v>
      </c>
      <c r="W12" s="9">
        <v>42985.416666666701</v>
      </c>
      <c r="X12" s="10">
        <v>4242553.7700001504</v>
      </c>
      <c r="Y12" s="10">
        <v>3745570.0407360801</v>
      </c>
      <c r="Z12" s="10">
        <v>7751654.41060567</v>
      </c>
      <c r="AA12" s="10">
        <v>5210700.3217243301</v>
      </c>
      <c r="AB12" s="10">
        <v>6788805.6024766304</v>
      </c>
      <c r="AC12" s="10">
        <v>4585186.3176505798</v>
      </c>
      <c r="AD12" s="10">
        <v>4148764.7214181498</v>
      </c>
      <c r="AE12" s="10">
        <v>3960866.6158002601</v>
      </c>
      <c r="AF12" s="7">
        <v>0.79452054794520499</v>
      </c>
      <c r="AH12" s="7">
        <v>0.51615967643952998</v>
      </c>
      <c r="AI12" s="7">
        <v>0.66509512364358803</v>
      </c>
    </row>
    <row r="13" spans="1:35" x14ac:dyDescent="0.35">
      <c r="A13" s="12" t="s">
        <v>193</v>
      </c>
      <c r="B13" s="9">
        <v>42681.708333333299</v>
      </c>
      <c r="C13" s="9">
        <v>42709.708333333299</v>
      </c>
      <c r="D13" s="10">
        <v>1350288.7096774201</v>
      </c>
      <c r="E13" s="10">
        <v>945450</v>
      </c>
      <c r="F13" s="10">
        <v>905012.64</v>
      </c>
      <c r="G13" s="9">
        <v>42634.708333333299</v>
      </c>
      <c r="H13" s="10">
        <v>-404838.70967741898</v>
      </c>
      <c r="I13" s="19">
        <v>0.70018359275614905</v>
      </c>
      <c r="J13" s="10">
        <v>40437.360000000001</v>
      </c>
      <c r="K13" s="19">
        <v>1.04468154168543</v>
      </c>
      <c r="L13" s="12" t="s">
        <v>314</v>
      </c>
      <c r="M13" s="19">
        <v>0.77824267782426804</v>
      </c>
      <c r="N13" s="19">
        <v>0.840816293788755</v>
      </c>
      <c r="O13" s="9">
        <v>42944.708333333299</v>
      </c>
      <c r="P13" s="9">
        <v>43119.625</v>
      </c>
      <c r="Q13" s="9">
        <v>43088.666666666701</v>
      </c>
      <c r="R13" s="9">
        <v>42997.583333333299</v>
      </c>
      <c r="S13" s="9">
        <v>43119.625</v>
      </c>
      <c r="T13" s="9">
        <v>43103.375</v>
      </c>
      <c r="U13" s="9">
        <v>42970.708333333299</v>
      </c>
      <c r="V13" s="9">
        <v>43046.416666666701</v>
      </c>
      <c r="W13" s="9">
        <v>43031.708333333299</v>
      </c>
      <c r="X13" s="10">
        <v>4278512.6400001496</v>
      </c>
      <c r="Y13" s="10">
        <v>4134226.39116626</v>
      </c>
      <c r="Z13" s="10">
        <v>5723034.70578558</v>
      </c>
      <c r="AA13" s="10">
        <v>5239778.7690324504</v>
      </c>
      <c r="AB13" s="10">
        <v>5516965.5400315803</v>
      </c>
      <c r="AC13" s="10">
        <v>5054378.6966060996</v>
      </c>
      <c r="AD13" s="10">
        <v>4362239.9369723396</v>
      </c>
      <c r="AE13" s="10">
        <v>4307797.7953861495</v>
      </c>
      <c r="AF13" s="7">
        <v>0.77824267782426804</v>
      </c>
      <c r="AH13" s="7">
        <v>0.70018359275614905</v>
      </c>
      <c r="AI13" s="7">
        <v>0.840816293788755</v>
      </c>
    </row>
    <row r="14" spans="1:35" x14ac:dyDescent="0.35">
      <c r="A14" s="12" t="s">
        <v>196</v>
      </c>
      <c r="B14" s="9">
        <v>42709.708333333299</v>
      </c>
      <c r="C14" s="9">
        <v>42736.708333333299</v>
      </c>
      <c r="D14" s="10">
        <v>1991844.6236559099</v>
      </c>
      <c r="E14" s="10">
        <v>1671866.66666667</v>
      </c>
      <c r="F14" s="10">
        <v>1632595.0766666699</v>
      </c>
      <c r="G14" s="9">
        <v>42723.5</v>
      </c>
      <c r="H14" s="10">
        <v>-319977.956989247</v>
      </c>
      <c r="I14" s="19">
        <v>0.839355965224864</v>
      </c>
      <c r="J14" s="10">
        <v>39271.589999999604</v>
      </c>
      <c r="K14" s="19">
        <v>1.02405470319081</v>
      </c>
      <c r="L14" s="12" t="s">
        <v>315</v>
      </c>
      <c r="M14" s="19">
        <v>0.96317829457364301</v>
      </c>
      <c r="N14" s="19">
        <v>1</v>
      </c>
      <c r="O14" s="9">
        <v>42935.583333333299</v>
      </c>
      <c r="P14" s="9">
        <v>42997.458333333299</v>
      </c>
      <c r="Q14" s="9">
        <v>42982.708333333299</v>
      </c>
      <c r="R14" s="9">
        <v>42955.5</v>
      </c>
      <c r="S14" s="9">
        <v>42997.458333333299</v>
      </c>
      <c r="T14" s="9">
        <v>42990.708333333299</v>
      </c>
      <c r="U14" s="9">
        <v>42909.5</v>
      </c>
      <c r="V14" s="9">
        <v>42916.416666666701</v>
      </c>
      <c r="W14" s="9">
        <v>42913.416666666701</v>
      </c>
      <c r="X14" s="10">
        <v>4279678.4100001501</v>
      </c>
      <c r="Y14" s="10">
        <v>4217499.30598717</v>
      </c>
      <c r="Z14" s="10">
        <v>4786302.73230277</v>
      </c>
      <c r="AA14" s="10">
        <v>4380874.7547352295</v>
      </c>
      <c r="AB14" s="10">
        <v>4712223.1920491597</v>
      </c>
      <c r="AC14" s="10">
        <v>4316318.5823595803</v>
      </c>
      <c r="AD14" s="10">
        <v>4314231.4132682905</v>
      </c>
      <c r="AE14" s="10">
        <v>4248601.7639998402</v>
      </c>
      <c r="AF14" s="7">
        <v>0.96317829457364301</v>
      </c>
      <c r="AH14" s="7">
        <v>0.839355965224864</v>
      </c>
      <c r="AI14" s="7">
        <v>1</v>
      </c>
    </row>
    <row r="15" spans="1:35" x14ac:dyDescent="0.35">
      <c r="A15" s="12" t="s">
        <v>198</v>
      </c>
      <c r="B15" s="9">
        <v>42736.708333333299</v>
      </c>
      <c r="C15" s="9">
        <v>42767.708333333299</v>
      </c>
      <c r="D15" s="10">
        <v>2254465.15151515</v>
      </c>
      <c r="E15" s="10">
        <v>1671866.66666667</v>
      </c>
      <c r="F15" s="10">
        <v>1632595.0766666699</v>
      </c>
      <c r="G15" s="9">
        <v>42723.5</v>
      </c>
      <c r="H15" s="10">
        <v>-582598.48484848498</v>
      </c>
      <c r="I15" s="19">
        <v>0.74158017725093694</v>
      </c>
      <c r="J15" s="10">
        <v>39271.589999999604</v>
      </c>
      <c r="K15" s="19">
        <v>1.02405470319081</v>
      </c>
      <c r="L15" s="12" t="s">
        <v>316</v>
      </c>
      <c r="M15" s="19">
        <v>0.88434163701067603</v>
      </c>
      <c r="N15" s="19">
        <v>1</v>
      </c>
      <c r="O15" s="9">
        <v>42968.458333333299</v>
      </c>
      <c r="P15" s="9">
        <v>43077.708333333299</v>
      </c>
      <c r="Q15" s="9">
        <v>43062.375</v>
      </c>
      <c r="R15" s="9">
        <v>42998.583333333299</v>
      </c>
      <c r="S15" s="9">
        <v>43077.708333333299</v>
      </c>
      <c r="T15" s="9">
        <v>43070.625</v>
      </c>
      <c r="U15" s="9">
        <v>42942.5</v>
      </c>
      <c r="V15" s="9">
        <v>42964.625</v>
      </c>
      <c r="W15" s="9">
        <v>42961.5</v>
      </c>
      <c r="X15" s="10">
        <v>4279678.4100001501</v>
      </c>
      <c r="Y15" s="10">
        <v>4217499.30598717</v>
      </c>
      <c r="Z15" s="10">
        <v>5202112.4593269099</v>
      </c>
      <c r="AA15" s="10">
        <v>4625876.4314622805</v>
      </c>
      <c r="AB15" s="10">
        <v>5118265.6873656102</v>
      </c>
      <c r="AC15" s="10">
        <v>4555565.2514717402</v>
      </c>
      <c r="AD15" s="10">
        <v>4368429.4290213101</v>
      </c>
      <c r="AE15" s="10">
        <v>4290010.2009561798</v>
      </c>
      <c r="AF15" s="7">
        <v>0.88434163701067603</v>
      </c>
      <c r="AH15" s="7">
        <v>0.74158017725093694</v>
      </c>
      <c r="AI15" s="7">
        <v>1</v>
      </c>
    </row>
    <row r="16" spans="1:35" x14ac:dyDescent="0.35">
      <c r="A16" s="12" t="s">
        <v>201</v>
      </c>
      <c r="B16" s="9">
        <v>42767.708333333299</v>
      </c>
      <c r="C16" s="9">
        <v>42795.708333333299</v>
      </c>
      <c r="D16" s="10">
        <v>2676958.7719298201</v>
      </c>
      <c r="E16" s="10">
        <v>1671866.66666667</v>
      </c>
      <c r="F16" s="10">
        <v>1632595.0766666699</v>
      </c>
      <c r="G16" s="9">
        <v>42723.5</v>
      </c>
      <c r="H16" s="10">
        <v>-1005092.10526316</v>
      </c>
      <c r="I16" s="19">
        <v>0.62453956489640505</v>
      </c>
      <c r="J16" s="10">
        <v>39271.589999999604</v>
      </c>
      <c r="K16" s="19">
        <v>1.02405470319081</v>
      </c>
      <c r="L16" s="12" t="s">
        <v>317</v>
      </c>
      <c r="M16" s="19">
        <v>0.82558139534883701</v>
      </c>
      <c r="N16" s="19">
        <v>1</v>
      </c>
      <c r="O16" s="9">
        <v>43018.625</v>
      </c>
      <c r="P16" s="9">
        <v>43210.416666666701</v>
      </c>
      <c r="Q16" s="9">
        <v>43192.416666666701</v>
      </c>
      <c r="R16" s="9">
        <v>43054.708333333299</v>
      </c>
      <c r="S16" s="9">
        <v>43210.416666666701</v>
      </c>
      <c r="T16" s="9">
        <v>43201.416666666701</v>
      </c>
      <c r="U16" s="9">
        <v>42970.5</v>
      </c>
      <c r="V16" s="9">
        <v>43006.625</v>
      </c>
      <c r="W16" s="9">
        <v>43003.416666666701</v>
      </c>
      <c r="X16" s="10">
        <v>4279678.4100001501</v>
      </c>
      <c r="Y16" s="10">
        <v>4217499.30598717</v>
      </c>
      <c r="Z16" s="10">
        <v>5871050.8641275801</v>
      </c>
      <c r="AA16" s="10">
        <v>4838921.3677466596</v>
      </c>
      <c r="AB16" s="10">
        <v>5771490.9523015004</v>
      </c>
      <c r="AC16" s="10">
        <v>4763605.8333083997</v>
      </c>
      <c r="AD16" s="10">
        <v>4436258.3035969501</v>
      </c>
      <c r="AE16" s="10">
        <v>4321736.4694547905</v>
      </c>
      <c r="AF16" s="7">
        <v>0.82558139534883701</v>
      </c>
      <c r="AH16" s="7">
        <v>0.62453956489640505</v>
      </c>
      <c r="AI16" s="7">
        <v>1</v>
      </c>
    </row>
    <row r="17" spans="1:35" x14ac:dyDescent="0.35">
      <c r="A17" s="12" t="s">
        <v>205</v>
      </c>
      <c r="B17" s="9">
        <v>42795.708333333299</v>
      </c>
      <c r="C17" s="9">
        <v>42826.708333333299</v>
      </c>
      <c r="D17" s="10">
        <v>3250020.1754386001</v>
      </c>
      <c r="E17" s="10">
        <v>1671866.66666667</v>
      </c>
      <c r="F17" s="10">
        <v>1632595.0766666699</v>
      </c>
      <c r="G17" s="9">
        <v>42723.5</v>
      </c>
      <c r="H17" s="10">
        <v>-1578153.5087719299</v>
      </c>
      <c r="I17" s="19">
        <v>0.51441731940665403</v>
      </c>
      <c r="J17" s="10">
        <v>39271.589999999902</v>
      </c>
      <c r="K17" s="19">
        <v>1.02405470319081</v>
      </c>
      <c r="L17" s="12" t="s">
        <v>318</v>
      </c>
      <c r="M17" s="19">
        <v>0.76934984520123795</v>
      </c>
      <c r="N17" s="19">
        <v>1</v>
      </c>
      <c r="O17" s="9">
        <v>43088.416666666701</v>
      </c>
      <c r="P17" s="9">
        <v>43390.375</v>
      </c>
      <c r="Q17" s="9">
        <v>43364.708333333299</v>
      </c>
      <c r="R17" s="9">
        <v>43116.666666666701</v>
      </c>
      <c r="S17" s="9">
        <v>43390.375</v>
      </c>
      <c r="T17" s="9">
        <v>43376.583333333299</v>
      </c>
      <c r="U17" s="9">
        <v>43000.5</v>
      </c>
      <c r="V17" s="9">
        <v>43053.666666666701</v>
      </c>
      <c r="W17" s="9">
        <v>43047.708333333299</v>
      </c>
      <c r="X17" s="10">
        <v>4279678.4100001501</v>
      </c>
      <c r="Y17" s="10">
        <v>4217499.30598717</v>
      </c>
      <c r="Z17" s="10">
        <v>6778384.7565062102</v>
      </c>
      <c r="AA17" s="10">
        <v>5073270.79765948</v>
      </c>
      <c r="AB17" s="10">
        <v>6657511.8743787203</v>
      </c>
      <c r="AC17" s="10">
        <v>4992450.4733287301</v>
      </c>
      <c r="AD17" s="10">
        <v>4503222.0980270403</v>
      </c>
      <c r="AE17" s="10">
        <v>4352814.9722388396</v>
      </c>
      <c r="AF17" s="7">
        <v>0.76934984520123795</v>
      </c>
      <c r="AH17" s="7">
        <v>0.51441731940665403</v>
      </c>
      <c r="AI17" s="7">
        <v>1</v>
      </c>
    </row>
    <row r="18" spans="1:35" x14ac:dyDescent="0.35">
      <c r="A18" s="12" t="s">
        <v>209</v>
      </c>
      <c r="B18" s="9">
        <v>42826.708333333299</v>
      </c>
      <c r="C18" s="9">
        <v>42856.708333333299</v>
      </c>
      <c r="D18" s="10">
        <v>3797033.3333333302</v>
      </c>
      <c r="E18" s="10">
        <v>1671866.66666667</v>
      </c>
      <c r="F18" s="10">
        <v>1632595.0766666699</v>
      </c>
      <c r="G18" s="9">
        <v>42723.5</v>
      </c>
      <c r="H18" s="10">
        <v>-2125166.6666666698</v>
      </c>
      <c r="I18" s="19">
        <v>0.44030866202561603</v>
      </c>
      <c r="J18" s="10">
        <v>39271.589999999902</v>
      </c>
      <c r="K18" s="19">
        <v>1.02405470319081</v>
      </c>
      <c r="L18" s="12" t="s">
        <v>319</v>
      </c>
      <c r="M18" s="19">
        <v>0.72238372093023295</v>
      </c>
      <c r="N18" s="19">
        <v>1</v>
      </c>
      <c r="O18" s="9">
        <v>43153.5</v>
      </c>
      <c r="P18" s="9">
        <v>43560.375</v>
      </c>
      <c r="Q18" s="9">
        <v>43532.416666666701</v>
      </c>
      <c r="R18" s="9">
        <v>43166.5</v>
      </c>
      <c r="S18" s="9">
        <v>43560.375</v>
      </c>
      <c r="T18" s="9">
        <v>43544.458333333299</v>
      </c>
      <c r="U18" s="9">
        <v>43031.5</v>
      </c>
      <c r="V18" s="9">
        <v>43097.458333333299</v>
      </c>
      <c r="W18" s="9">
        <v>43091.416666666701</v>
      </c>
      <c r="X18" s="10">
        <v>4279678.4100001501</v>
      </c>
      <c r="Y18" s="10">
        <v>4217499.30598717</v>
      </c>
      <c r="Z18" s="10">
        <v>7644476.19923128</v>
      </c>
      <c r="AA18" s="10">
        <v>5296967.9807580896</v>
      </c>
      <c r="AB18" s="10">
        <v>7503259.1181797003</v>
      </c>
      <c r="AC18" s="10">
        <v>5210893.0842572199</v>
      </c>
      <c r="AD18" s="10">
        <v>4550116.6259621195</v>
      </c>
      <c r="AE18" s="10">
        <v>4379328.5069756396</v>
      </c>
      <c r="AF18" s="7">
        <v>0.72238372093023295</v>
      </c>
      <c r="AH18" s="7">
        <v>0.44030866202561603</v>
      </c>
      <c r="AI18" s="7">
        <v>1</v>
      </c>
    </row>
    <row r="19" spans="1:35" x14ac:dyDescent="0.35">
      <c r="A19" s="12" t="s">
        <v>213</v>
      </c>
      <c r="B19" s="9">
        <v>42856.708333333299</v>
      </c>
      <c r="C19" s="9">
        <v>42887.708333333299</v>
      </c>
      <c r="D19" s="10">
        <v>4317859.0909090899</v>
      </c>
      <c r="E19" s="10">
        <v>1671866.66666667</v>
      </c>
      <c r="F19" s="10">
        <v>1632595.0766666699</v>
      </c>
      <c r="G19" s="9">
        <v>42723.5</v>
      </c>
      <c r="H19" s="10">
        <v>-2645992.4242424201</v>
      </c>
      <c r="I19" s="19">
        <v>0.38719806076734897</v>
      </c>
      <c r="J19" s="10">
        <v>39271.589999999902</v>
      </c>
      <c r="K19" s="19">
        <v>1.02405470319081</v>
      </c>
      <c r="L19" s="12" t="s">
        <v>320</v>
      </c>
      <c r="M19" s="19">
        <v>0.67711171662125302</v>
      </c>
      <c r="N19" s="19">
        <v>1</v>
      </c>
      <c r="O19" s="9">
        <v>43216.5</v>
      </c>
      <c r="P19" s="9">
        <v>43724.458333333299</v>
      </c>
      <c r="Q19" s="9">
        <v>43691.625</v>
      </c>
      <c r="R19" s="9">
        <v>43210.666666666701</v>
      </c>
      <c r="S19" s="9">
        <v>43724.458333333299</v>
      </c>
      <c r="T19" s="9">
        <v>43704.458333333299</v>
      </c>
      <c r="U19" s="9">
        <v>43062.5</v>
      </c>
      <c r="V19" s="9">
        <v>43145.666666666701</v>
      </c>
      <c r="W19" s="9">
        <v>43139.5</v>
      </c>
      <c r="X19" s="10">
        <v>4279678.4100001501</v>
      </c>
      <c r="Y19" s="10">
        <v>4217499.30598717</v>
      </c>
      <c r="Z19" s="10">
        <v>8469104.8672567792</v>
      </c>
      <c r="AA19" s="10">
        <v>5541969.6574851302</v>
      </c>
      <c r="AB19" s="10">
        <v>8308517.53402026</v>
      </c>
      <c r="AC19" s="10">
        <v>5450139.7533693798</v>
      </c>
      <c r="AD19" s="10">
        <v>4584677.6155015603</v>
      </c>
      <c r="AE19" s="10">
        <v>4405379.5266833799</v>
      </c>
      <c r="AF19" s="7">
        <v>0.67711171662125302</v>
      </c>
      <c r="AH19" s="7">
        <v>0.38719806076734897</v>
      </c>
      <c r="AI19" s="7">
        <v>1</v>
      </c>
    </row>
    <row r="20" spans="1:35" x14ac:dyDescent="0.35">
      <c r="A20" s="12" t="s">
        <v>217</v>
      </c>
      <c r="B20" s="9">
        <v>42887.708333333299</v>
      </c>
      <c r="C20" s="9">
        <v>42917.708333333299</v>
      </c>
      <c r="D20" s="10">
        <v>4318950</v>
      </c>
      <c r="E20" s="10">
        <v>1671866.66666667</v>
      </c>
      <c r="F20" s="10">
        <v>1632595.0766666699</v>
      </c>
      <c r="G20" s="9">
        <v>42723.5</v>
      </c>
      <c r="H20" s="10">
        <v>-2647083.3333333302</v>
      </c>
      <c r="I20" s="19">
        <v>0.38710025970818501</v>
      </c>
      <c r="J20" s="10">
        <v>39271.5899999994</v>
      </c>
      <c r="K20" s="19">
        <v>1.02405470319081</v>
      </c>
      <c r="L20" s="12" t="s">
        <v>321</v>
      </c>
      <c r="M20" s="19">
        <v>0.64046391752577303</v>
      </c>
      <c r="N20" s="19">
        <v>1</v>
      </c>
      <c r="O20" s="9">
        <v>43216.583333333299</v>
      </c>
      <c r="P20" s="9">
        <v>43724.583333333299</v>
      </c>
      <c r="Q20" s="9">
        <v>43691.708333333299</v>
      </c>
      <c r="R20" s="9">
        <v>43250.625</v>
      </c>
      <c r="S20" s="9">
        <v>43777.458333333299</v>
      </c>
      <c r="T20" s="9">
        <v>43756.666666666701</v>
      </c>
      <c r="U20" s="9">
        <v>43091.5</v>
      </c>
      <c r="V20" s="9">
        <v>43189.458333333299</v>
      </c>
      <c r="W20" s="9">
        <v>43182.666666666701</v>
      </c>
      <c r="X20" s="10">
        <v>4279678.4100001501</v>
      </c>
      <c r="Y20" s="10">
        <v>4217499.30598717</v>
      </c>
      <c r="Z20" s="10">
        <v>8470832.1146086808</v>
      </c>
      <c r="AA20" s="10">
        <v>5765666.8405837398</v>
      </c>
      <c r="AB20" s="10">
        <v>8310204.20890834</v>
      </c>
      <c r="AC20" s="10">
        <v>5668582.3642978696</v>
      </c>
      <c r="AD20" s="10">
        <v>4584742.0135054402</v>
      </c>
      <c r="AE20" s="10">
        <v>4426832.60962041</v>
      </c>
      <c r="AF20" s="7">
        <v>0.64046391752577303</v>
      </c>
      <c r="AH20" s="7">
        <v>0.38710025970818501</v>
      </c>
      <c r="AI20" s="7">
        <v>1</v>
      </c>
    </row>
    <row r="21" spans="1:35" x14ac:dyDescent="0.35">
      <c r="A21" s="12" t="s">
        <v>221</v>
      </c>
      <c r="B21" s="9">
        <v>42917.708333333299</v>
      </c>
      <c r="C21" s="9">
        <v>42948.708333333299</v>
      </c>
      <c r="D21" s="10">
        <v>4318950</v>
      </c>
      <c r="E21" s="10">
        <v>1671866.66666667</v>
      </c>
      <c r="F21" s="10">
        <v>1632595.0766666699</v>
      </c>
      <c r="G21" s="9">
        <v>42723.5</v>
      </c>
      <c r="H21" s="10">
        <v>-2647083.3333333302</v>
      </c>
      <c r="I21" s="19">
        <v>0.38710025970818501</v>
      </c>
      <c r="J21" s="10">
        <v>39271.5899999994</v>
      </c>
      <c r="K21" s="19">
        <v>1.02405470319081</v>
      </c>
      <c r="L21" s="12" t="s">
        <v>322</v>
      </c>
      <c r="M21" s="19">
        <v>0.60609756097560996</v>
      </c>
      <c r="N21" s="19">
        <v>1</v>
      </c>
      <c r="O21" s="9">
        <v>43216.583333333299</v>
      </c>
      <c r="P21" s="9">
        <v>43724.583333333299</v>
      </c>
      <c r="Q21" s="9">
        <v>43691.708333333299</v>
      </c>
      <c r="R21" s="9">
        <v>43300.416666666701</v>
      </c>
      <c r="S21" s="9">
        <v>43858.375</v>
      </c>
      <c r="T21" s="9">
        <v>43836.666666666701</v>
      </c>
      <c r="U21" s="9">
        <v>43123.5</v>
      </c>
      <c r="V21" s="9">
        <v>43236.458333333299</v>
      </c>
      <c r="W21" s="9">
        <v>43229.583333333299</v>
      </c>
      <c r="X21" s="10">
        <v>4279678.4100001501</v>
      </c>
      <c r="Y21" s="10">
        <v>4217499.30598717</v>
      </c>
      <c r="Z21" s="10">
        <v>8470832.1146086808</v>
      </c>
      <c r="AA21" s="10">
        <v>6000016.2704965603</v>
      </c>
      <c r="AB21" s="10">
        <v>8310204.20890834</v>
      </c>
      <c r="AC21" s="10">
        <v>5897427.0043182001</v>
      </c>
      <c r="AD21" s="10">
        <v>4584742.0135054402</v>
      </c>
      <c r="AE21" s="10">
        <v>4447253.9840476299</v>
      </c>
      <c r="AF21" s="7">
        <v>0.60609756097560996</v>
      </c>
      <c r="AH21" s="7">
        <v>0.38710025970818501</v>
      </c>
      <c r="AI21" s="7">
        <v>1</v>
      </c>
    </row>
    <row r="22" spans="1:35" x14ac:dyDescent="0.35">
      <c r="A22" s="12" t="s">
        <v>225</v>
      </c>
      <c r="B22" s="9">
        <v>42948.708333333299</v>
      </c>
      <c r="C22" s="9">
        <v>42979.708333333299</v>
      </c>
      <c r="D22" s="10">
        <v>4318950</v>
      </c>
      <c r="E22" s="10">
        <v>1677866.66666667</v>
      </c>
      <c r="F22" s="10">
        <v>1638935.0766666699</v>
      </c>
      <c r="G22" s="9">
        <v>42723.583333333299</v>
      </c>
      <c r="H22" s="10">
        <v>-2641083.3333333302</v>
      </c>
      <c r="I22" s="19">
        <v>0.38848948625630503</v>
      </c>
      <c r="J22" s="10">
        <v>38931.5899999994</v>
      </c>
      <c r="K22" s="19">
        <v>1.02375419902488</v>
      </c>
      <c r="L22" s="12" t="s">
        <v>323</v>
      </c>
      <c r="M22" s="19">
        <v>0.57419168591224001</v>
      </c>
      <c r="N22" s="19">
        <v>0.99748817612200902</v>
      </c>
      <c r="O22" s="9">
        <v>43216.375</v>
      </c>
      <c r="P22" s="9">
        <v>43719.375</v>
      </c>
      <c r="Q22" s="9">
        <v>43686.666666666701</v>
      </c>
      <c r="R22" s="9">
        <v>43350.625</v>
      </c>
      <c r="S22" s="9">
        <v>43935.583333333299</v>
      </c>
      <c r="T22" s="9">
        <v>43913.625</v>
      </c>
      <c r="U22" s="9">
        <v>43154.458333333299</v>
      </c>
      <c r="V22" s="9">
        <v>43284.583333333299</v>
      </c>
      <c r="W22" s="9">
        <v>43277.583333333299</v>
      </c>
      <c r="X22" s="10">
        <v>4280018.4100001501</v>
      </c>
      <c r="Y22" s="10">
        <v>4218737.2751329597</v>
      </c>
      <c r="Z22" s="10">
        <v>8437274.3542218897</v>
      </c>
      <c r="AA22" s="10">
        <v>6238589.5093801897</v>
      </c>
      <c r="AB22" s="10">
        <v>8279532.2864564704</v>
      </c>
      <c r="AC22" s="10">
        <v>6131863.5912404303</v>
      </c>
      <c r="AD22" s="10">
        <v>4584267.5542044695</v>
      </c>
      <c r="AE22" s="10">
        <v>4467126.7750116</v>
      </c>
      <c r="AF22" s="7">
        <v>0.57419168591224001</v>
      </c>
      <c r="AH22" s="7">
        <v>0.38848948625630503</v>
      </c>
      <c r="AI22" s="7">
        <v>0.99748817612200902</v>
      </c>
    </row>
    <row r="23" spans="1:35" x14ac:dyDescent="0.35">
      <c r="A23" s="12" t="s">
        <v>229</v>
      </c>
      <c r="B23" s="9">
        <v>42979.708333333299</v>
      </c>
      <c r="C23" s="9">
        <v>43009.708333333299</v>
      </c>
      <c r="D23" s="10">
        <v>4318950</v>
      </c>
      <c r="E23" s="10">
        <v>2205283.3333333302</v>
      </c>
      <c r="F23" s="10">
        <v>2157658.7433333299</v>
      </c>
      <c r="G23" s="9">
        <v>42758.708333333299</v>
      </c>
      <c r="H23" s="10">
        <v>-2113666.6666666698</v>
      </c>
      <c r="I23" s="19">
        <v>0.51060635879862803</v>
      </c>
      <c r="J23" s="10">
        <v>47624.589999999902</v>
      </c>
      <c r="K23" s="19">
        <v>1.0220723458457699</v>
      </c>
      <c r="L23" s="12" t="s">
        <v>324</v>
      </c>
      <c r="M23" s="19">
        <v>0.60485651214128</v>
      </c>
      <c r="N23" s="19">
        <v>1</v>
      </c>
      <c r="O23" s="9">
        <v>43152.5</v>
      </c>
      <c r="P23" s="9">
        <v>43397.5</v>
      </c>
      <c r="Q23" s="9">
        <v>43375.625</v>
      </c>
      <c r="R23" s="9">
        <v>43319.625</v>
      </c>
      <c r="S23" s="9">
        <v>43616.375</v>
      </c>
      <c r="T23" s="9">
        <v>43602.625</v>
      </c>
      <c r="U23" s="9">
        <v>43146.708333333299</v>
      </c>
      <c r="V23" s="9">
        <v>43237.583333333299</v>
      </c>
      <c r="W23" s="9">
        <v>43234.375</v>
      </c>
      <c r="X23" s="10">
        <v>4271325.4100001501</v>
      </c>
      <c r="Y23" s="10">
        <v>4225679.3440842004</v>
      </c>
      <c r="Z23" s="10">
        <v>6297181.54841536</v>
      </c>
      <c r="AA23" s="10">
        <v>5652151.4440635098</v>
      </c>
      <c r="AB23" s="10">
        <v>6207785.7445257604</v>
      </c>
      <c r="AC23" s="10">
        <v>5576685.5029688999</v>
      </c>
      <c r="AD23" s="10">
        <v>4455674.1639483003</v>
      </c>
      <c r="AE23" s="10">
        <v>4409524.2443425097</v>
      </c>
      <c r="AF23" s="7">
        <v>0.60485651214128</v>
      </c>
      <c r="AH23" s="7">
        <v>0.51060635879862803</v>
      </c>
      <c r="AI23" s="7">
        <v>1</v>
      </c>
    </row>
    <row r="24" spans="1:35" x14ac:dyDescent="0.35">
      <c r="A24" s="12" t="s">
        <v>233</v>
      </c>
      <c r="B24" s="9">
        <v>43009.708333333299</v>
      </c>
      <c r="C24" s="9">
        <v>43040.708333333299</v>
      </c>
      <c r="D24" s="10">
        <v>4318950</v>
      </c>
      <c r="E24" s="10">
        <v>3296116.6666666698</v>
      </c>
      <c r="F24" s="10">
        <v>3230856.0766666699</v>
      </c>
      <c r="G24" s="9">
        <v>42829.625</v>
      </c>
      <c r="H24" s="10">
        <v>-1022833.33333333</v>
      </c>
      <c r="I24" s="19">
        <v>0.76317546317199003</v>
      </c>
      <c r="J24" s="10">
        <v>65260.5899999994</v>
      </c>
      <c r="K24" s="19">
        <v>1.0201991634574199</v>
      </c>
      <c r="L24" s="12" t="s">
        <v>325</v>
      </c>
      <c r="M24" s="19">
        <v>0.682247899159664</v>
      </c>
      <c r="N24" s="19">
        <v>0.998179393246866</v>
      </c>
      <c r="O24" s="9">
        <v>43020.458333333299</v>
      </c>
      <c r="P24" s="9">
        <v>43059.625</v>
      </c>
      <c r="Q24" s="9">
        <v>43046.375</v>
      </c>
      <c r="R24" s="9">
        <v>43199.625</v>
      </c>
      <c r="S24" s="9">
        <v>43248.625</v>
      </c>
      <c r="T24" s="9">
        <v>43243.625</v>
      </c>
      <c r="U24" s="9">
        <v>43109.416666666701</v>
      </c>
      <c r="V24" s="9">
        <v>43139.625</v>
      </c>
      <c r="W24" s="9">
        <v>43138.458333333299</v>
      </c>
      <c r="X24" s="10">
        <v>4253689.4100001501</v>
      </c>
      <c r="Y24" s="10">
        <v>4233438.0919931</v>
      </c>
      <c r="Z24" s="10">
        <v>4571089.5913583999</v>
      </c>
      <c r="AA24" s="10">
        <v>4730066.7515449999</v>
      </c>
      <c r="AB24" s="10">
        <v>4544553.9924243297</v>
      </c>
      <c r="AC24" s="10">
        <v>4700383.5263830097</v>
      </c>
      <c r="AD24" s="10">
        <v>4286635.61939306</v>
      </c>
      <c r="AE24" s="10">
        <v>4304574.0756842699</v>
      </c>
      <c r="AF24" s="7">
        <v>0.682247899159664</v>
      </c>
      <c r="AH24" s="7">
        <v>0.76317546317199003</v>
      </c>
      <c r="AI24" s="7">
        <v>0.998179393246866</v>
      </c>
    </row>
    <row r="25" spans="1:35" x14ac:dyDescent="0.35">
      <c r="A25" s="12" t="s">
        <v>235</v>
      </c>
      <c r="B25" s="9">
        <v>43040.708333333299</v>
      </c>
      <c r="C25" s="9">
        <v>43070.708333333299</v>
      </c>
      <c r="D25" s="10">
        <v>4318950</v>
      </c>
      <c r="E25" s="10">
        <v>3302116.6666666698</v>
      </c>
      <c r="F25" s="10">
        <v>3236349.5766666699</v>
      </c>
      <c r="G25" s="9">
        <v>42829.708333333299</v>
      </c>
      <c r="H25" s="10">
        <v>-1016833.33333333</v>
      </c>
      <c r="I25" s="19">
        <v>0.76456468972010905</v>
      </c>
      <c r="J25" s="10">
        <v>65767.0899999994</v>
      </c>
      <c r="K25" s="19">
        <v>1.0203213801358699</v>
      </c>
      <c r="L25" s="12" t="s">
        <v>326</v>
      </c>
      <c r="M25" s="19">
        <v>0.65261044176706795</v>
      </c>
      <c r="N25" s="19">
        <v>1</v>
      </c>
      <c r="O25" s="9">
        <v>43019.666666666701</v>
      </c>
      <c r="P25" s="9">
        <v>43056.666666666701</v>
      </c>
      <c r="Q25" s="9">
        <v>43045.375</v>
      </c>
      <c r="R25" s="9">
        <v>43236.416666666701</v>
      </c>
      <c r="S25" s="9">
        <v>43286.458333333299</v>
      </c>
      <c r="T25" s="9">
        <v>43283.416666666701</v>
      </c>
      <c r="U25" s="9">
        <v>43138.708333333299</v>
      </c>
      <c r="V25" s="9">
        <v>43174.5</v>
      </c>
      <c r="W25" s="9">
        <v>43173.375</v>
      </c>
      <c r="X25" s="10">
        <v>4253182.9100001501</v>
      </c>
      <c r="Y25" s="10">
        <v>4232931.0000590496</v>
      </c>
      <c r="Z25" s="10">
        <v>4566300.2623381801</v>
      </c>
      <c r="AA25" s="10">
        <v>4794451.1151284399</v>
      </c>
      <c r="AB25" s="10">
        <v>4539812.1048109001</v>
      </c>
      <c r="AC25" s="10">
        <v>4763418.95774177</v>
      </c>
      <c r="AD25" s="10">
        <v>4285529.0696479203</v>
      </c>
      <c r="AE25" s="10">
        <v>4310341.6346133603</v>
      </c>
      <c r="AF25" s="7">
        <v>0.65261044176706795</v>
      </c>
      <c r="AH25" s="7">
        <v>0.76456468972010905</v>
      </c>
      <c r="AI25" s="7">
        <v>1</v>
      </c>
    </row>
    <row r="26" spans="1:35" x14ac:dyDescent="0.35">
      <c r="A26" s="12" t="s">
        <v>239</v>
      </c>
      <c r="B26" s="9">
        <v>43070.708333333299</v>
      </c>
      <c r="C26" s="9">
        <v>43101.708333333299</v>
      </c>
      <c r="D26" s="10">
        <v>4318950</v>
      </c>
      <c r="E26" s="10">
        <v>4318950</v>
      </c>
      <c r="F26" s="10">
        <v>4232553.41</v>
      </c>
      <c r="G26" s="9">
        <v>42895.708333333299</v>
      </c>
      <c r="H26" s="10">
        <v>0</v>
      </c>
      <c r="I26" s="19">
        <v>1</v>
      </c>
      <c r="J26" s="10">
        <v>86396.589999999895</v>
      </c>
      <c r="K26" s="19">
        <v>1.02041240396303</v>
      </c>
      <c r="L26" s="12" t="s">
        <v>327</v>
      </c>
      <c r="M26" s="19">
        <v>0.71868978805395001</v>
      </c>
      <c r="N26" s="19">
        <v>1</v>
      </c>
      <c r="O26" s="9">
        <v>42895.708333333299</v>
      </c>
      <c r="P26" s="9">
        <v>42895.708333333299</v>
      </c>
      <c r="Q26" s="9">
        <v>42886.5</v>
      </c>
      <c r="R26" s="9">
        <v>43101.708333333299</v>
      </c>
      <c r="S26" s="9">
        <v>43101.708333333299</v>
      </c>
      <c r="T26" s="9">
        <v>43101.708333333299</v>
      </c>
      <c r="U26" s="9">
        <v>43101.708333333299</v>
      </c>
      <c r="V26" s="9">
        <v>43101.708333333299</v>
      </c>
      <c r="W26" s="9">
        <v>43101.708333333299</v>
      </c>
      <c r="X26" s="10">
        <v>4232553.4100001501</v>
      </c>
      <c r="Y26" s="10">
        <v>4232553.4100001501</v>
      </c>
      <c r="Z26" s="10">
        <v>4232553.4100001501</v>
      </c>
      <c r="AA26" s="10">
        <v>4232553.4100002097</v>
      </c>
      <c r="AB26" s="10">
        <v>4232553.4100001501</v>
      </c>
      <c r="AC26" s="10">
        <v>4232553.4100002097</v>
      </c>
      <c r="AD26" s="10">
        <v>4232553.4100001501</v>
      </c>
      <c r="AE26" s="10">
        <v>4232553.4100001603</v>
      </c>
      <c r="AF26" s="7">
        <v>0.71868978805395001</v>
      </c>
      <c r="AH26" s="7">
        <v>1</v>
      </c>
      <c r="AI26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6"/>
  <sheetViews>
    <sheetView workbookViewId="0">
      <selection activeCell="I13" sqref="I13"/>
    </sheetView>
  </sheetViews>
  <sheetFormatPr baseColWidth="10" defaultRowHeight="14.5" x14ac:dyDescent="0.35"/>
  <cols>
    <col min="5" max="5" width="21" bestFit="1" customWidth="1"/>
  </cols>
  <sheetData>
    <row r="1" spans="1:5" x14ac:dyDescent="0.35">
      <c r="A1" s="32" t="s">
        <v>0</v>
      </c>
      <c r="B1" s="32"/>
      <c r="C1" s="32"/>
      <c r="D1" s="30" t="s">
        <v>331</v>
      </c>
      <c r="E1" s="31"/>
    </row>
    <row r="2" spans="1:5" x14ac:dyDescent="0.35">
      <c r="A2" s="26" t="s">
        <v>6</v>
      </c>
      <c r="B2" s="26" t="s">
        <v>280</v>
      </c>
      <c r="C2" s="26" t="s">
        <v>281</v>
      </c>
      <c r="D2" s="20" t="s">
        <v>332</v>
      </c>
      <c r="E2" s="21" t="s">
        <v>118</v>
      </c>
    </row>
    <row r="3" spans="1:5" x14ac:dyDescent="0.35">
      <c r="A3" s="27" t="s">
        <v>159</v>
      </c>
      <c r="B3" s="28">
        <v>42375.333333333299</v>
      </c>
      <c r="C3" s="28">
        <v>42401.708333333299</v>
      </c>
      <c r="D3" s="22" t="s">
        <v>335</v>
      </c>
      <c r="E3" s="23" t="s">
        <v>335</v>
      </c>
    </row>
    <row r="4" spans="1:5" x14ac:dyDescent="0.35">
      <c r="A4" s="27" t="s">
        <v>165</v>
      </c>
      <c r="B4" s="28">
        <v>42401.708333333299</v>
      </c>
      <c r="C4" s="28">
        <v>42430.708333333299</v>
      </c>
      <c r="D4" s="24" t="s">
        <v>335</v>
      </c>
      <c r="E4" s="25" t="s">
        <v>335</v>
      </c>
    </row>
    <row r="5" spans="1:5" x14ac:dyDescent="0.35">
      <c r="A5" s="27" t="s">
        <v>168</v>
      </c>
      <c r="B5" s="28">
        <v>42430.708333333299</v>
      </c>
      <c r="C5" s="28">
        <v>42475.708333333299</v>
      </c>
      <c r="D5" s="24" t="s">
        <v>335</v>
      </c>
      <c r="E5" s="25" t="s">
        <v>335</v>
      </c>
    </row>
    <row r="6" spans="1:5" x14ac:dyDescent="0.35">
      <c r="A6" s="27" t="s">
        <v>171</v>
      </c>
      <c r="B6" s="28">
        <v>42475.708333333299</v>
      </c>
      <c r="C6" s="28">
        <v>42491.708333333299</v>
      </c>
      <c r="D6" s="24" t="s">
        <v>335</v>
      </c>
      <c r="E6" s="25" t="s">
        <v>335</v>
      </c>
    </row>
    <row r="7" spans="1:5" x14ac:dyDescent="0.35">
      <c r="A7" s="27" t="s">
        <v>174</v>
      </c>
      <c r="B7" s="28">
        <v>42491.708333333299</v>
      </c>
      <c r="C7" s="28">
        <v>42523.708333333299</v>
      </c>
      <c r="D7" s="24" t="s">
        <v>335</v>
      </c>
      <c r="E7" s="25" t="s">
        <v>335</v>
      </c>
    </row>
    <row r="8" spans="1:5" x14ac:dyDescent="0.35">
      <c r="A8" s="27" t="s">
        <v>178</v>
      </c>
      <c r="B8" s="28">
        <v>42523.708333333299</v>
      </c>
      <c r="C8" s="28">
        <v>42551.708333333299</v>
      </c>
      <c r="D8" s="24" t="s">
        <v>335</v>
      </c>
      <c r="E8" s="25" t="s">
        <v>335</v>
      </c>
    </row>
    <row r="9" spans="1:5" x14ac:dyDescent="0.35">
      <c r="A9" s="27" t="s">
        <v>181</v>
      </c>
      <c r="B9" s="28">
        <v>42551.708333333299</v>
      </c>
      <c r="C9" s="28">
        <v>42566.708333333299</v>
      </c>
      <c r="D9" s="24" t="s">
        <v>335</v>
      </c>
      <c r="E9" s="25" t="s">
        <v>335</v>
      </c>
    </row>
    <row r="10" spans="1:5" x14ac:dyDescent="0.35">
      <c r="A10" s="27" t="s">
        <v>184</v>
      </c>
      <c r="B10" s="28">
        <v>42566.708333333299</v>
      </c>
      <c r="C10" s="28">
        <v>42620.708333333299</v>
      </c>
      <c r="D10" s="24" t="s">
        <v>335</v>
      </c>
      <c r="E10" s="25" t="s">
        <v>335</v>
      </c>
    </row>
    <row r="11" spans="1:5" x14ac:dyDescent="0.35">
      <c r="A11" s="27" t="s">
        <v>188</v>
      </c>
      <c r="B11" s="28">
        <v>42620.708333333299</v>
      </c>
      <c r="C11" s="28">
        <v>42649.708333333299</v>
      </c>
      <c r="D11" s="24" t="s">
        <v>333</v>
      </c>
      <c r="E11" s="25" t="s">
        <v>334</v>
      </c>
    </row>
    <row r="12" spans="1:5" x14ac:dyDescent="0.35">
      <c r="A12" s="27" t="s">
        <v>190</v>
      </c>
      <c r="B12" s="28">
        <v>42649.708333333299</v>
      </c>
      <c r="C12" s="28">
        <v>42681.708333333299</v>
      </c>
      <c r="D12" s="24" t="s">
        <v>335</v>
      </c>
      <c r="E12" s="25" t="s">
        <v>335</v>
      </c>
    </row>
    <row r="13" spans="1:5" x14ac:dyDescent="0.35">
      <c r="A13" s="27" t="s">
        <v>193</v>
      </c>
      <c r="B13" s="28">
        <v>42681.708333333299</v>
      </c>
      <c r="C13" s="28">
        <v>42709.708333333299</v>
      </c>
      <c r="D13" s="24" t="s">
        <v>335</v>
      </c>
      <c r="E13" s="25" t="s">
        <v>335</v>
      </c>
    </row>
    <row r="14" spans="1:5" x14ac:dyDescent="0.35">
      <c r="A14" s="27" t="s">
        <v>196</v>
      </c>
      <c r="B14" s="28">
        <v>42709.708333333299</v>
      </c>
      <c r="C14" s="28">
        <v>42736.708333333299</v>
      </c>
      <c r="D14" s="24" t="s">
        <v>335</v>
      </c>
      <c r="E14" s="25" t="s">
        <v>335</v>
      </c>
    </row>
    <row r="15" spans="1:5" x14ac:dyDescent="0.35">
      <c r="A15" s="27" t="s">
        <v>198</v>
      </c>
      <c r="B15" s="28">
        <v>42736.708333333299</v>
      </c>
      <c r="C15" s="28">
        <v>42767.708333333299</v>
      </c>
      <c r="D15" s="24" t="s">
        <v>335</v>
      </c>
      <c r="E15" s="25" t="s">
        <v>335</v>
      </c>
    </row>
    <row r="16" spans="1:5" x14ac:dyDescent="0.35">
      <c r="A16" s="27" t="s">
        <v>201</v>
      </c>
      <c r="B16" s="28">
        <v>42767.708333333299</v>
      </c>
      <c r="C16" s="28">
        <v>42795.708333333299</v>
      </c>
      <c r="D16" s="24" t="s">
        <v>335</v>
      </c>
      <c r="E16" s="25" t="s">
        <v>335</v>
      </c>
    </row>
    <row r="17" spans="1:5" x14ac:dyDescent="0.35">
      <c r="A17" s="27" t="s">
        <v>205</v>
      </c>
      <c r="B17" s="28">
        <v>42795.708333333299</v>
      </c>
      <c r="C17" s="28">
        <v>42826.708333333299</v>
      </c>
      <c r="D17" s="24" t="s">
        <v>335</v>
      </c>
      <c r="E17" s="25" t="s">
        <v>335</v>
      </c>
    </row>
    <row r="18" spans="1:5" x14ac:dyDescent="0.35">
      <c r="A18" s="27" t="s">
        <v>209</v>
      </c>
      <c r="B18" s="28">
        <v>42826.708333333299</v>
      </c>
      <c r="C18" s="28">
        <v>42856.708333333299</v>
      </c>
      <c r="D18" s="24" t="s">
        <v>335</v>
      </c>
      <c r="E18" s="25" t="s">
        <v>335</v>
      </c>
    </row>
    <row r="19" spans="1:5" x14ac:dyDescent="0.35">
      <c r="A19" s="27" t="s">
        <v>213</v>
      </c>
      <c r="B19" s="28">
        <v>42856.708333333299</v>
      </c>
      <c r="C19" s="28">
        <v>42887.708333333299</v>
      </c>
      <c r="D19" s="24" t="s">
        <v>335</v>
      </c>
      <c r="E19" s="25" t="s">
        <v>335</v>
      </c>
    </row>
    <row r="20" spans="1:5" x14ac:dyDescent="0.35">
      <c r="A20" s="27" t="s">
        <v>217</v>
      </c>
      <c r="B20" s="28">
        <v>42887.708333333299</v>
      </c>
      <c r="C20" s="28">
        <v>42917.708333333299</v>
      </c>
      <c r="D20" s="24" t="s">
        <v>335</v>
      </c>
      <c r="E20" s="25" t="s">
        <v>335</v>
      </c>
    </row>
    <row r="21" spans="1:5" x14ac:dyDescent="0.35">
      <c r="A21" s="27" t="s">
        <v>221</v>
      </c>
      <c r="B21" s="28">
        <v>42917.708333333299</v>
      </c>
      <c r="C21" s="28">
        <v>42948.708333333299</v>
      </c>
      <c r="D21" s="24" t="s">
        <v>335</v>
      </c>
      <c r="E21" s="25" t="s">
        <v>335</v>
      </c>
    </row>
    <row r="22" spans="1:5" x14ac:dyDescent="0.35">
      <c r="A22" s="27" t="s">
        <v>225</v>
      </c>
      <c r="B22" s="28">
        <v>42948.708333333299</v>
      </c>
      <c r="C22" s="28">
        <v>42979.708333333299</v>
      </c>
      <c r="D22" s="24" t="s">
        <v>336</v>
      </c>
      <c r="E22" s="25" t="s">
        <v>337</v>
      </c>
    </row>
    <row r="23" spans="1:5" x14ac:dyDescent="0.35">
      <c r="A23" s="27" t="s">
        <v>229</v>
      </c>
      <c r="B23" s="28">
        <v>42979.708333333299</v>
      </c>
      <c r="C23" s="28">
        <v>43009.708333333299</v>
      </c>
      <c r="D23" s="24" t="s">
        <v>335</v>
      </c>
      <c r="E23" s="25" t="s">
        <v>335</v>
      </c>
    </row>
    <row r="24" spans="1:5" x14ac:dyDescent="0.35">
      <c r="A24" s="27" t="s">
        <v>233</v>
      </c>
      <c r="B24" s="28">
        <v>43009.708333333299</v>
      </c>
      <c r="C24" s="28">
        <v>43040.708333333299</v>
      </c>
      <c r="D24" s="24" t="s">
        <v>335</v>
      </c>
      <c r="E24" s="25" t="s">
        <v>335</v>
      </c>
    </row>
    <row r="25" spans="1:5" x14ac:dyDescent="0.35">
      <c r="A25" s="27" t="s">
        <v>235</v>
      </c>
      <c r="B25" s="28">
        <v>43040.708333333299</v>
      </c>
      <c r="C25" s="28">
        <v>43070.708333333299</v>
      </c>
      <c r="D25" s="24" t="s">
        <v>335</v>
      </c>
      <c r="E25" s="25" t="s">
        <v>335</v>
      </c>
    </row>
    <row r="26" spans="1:5" x14ac:dyDescent="0.35">
      <c r="A26" s="27" t="s">
        <v>239</v>
      </c>
      <c r="B26" s="28">
        <v>43070.708333333299</v>
      </c>
      <c r="C26" s="28">
        <v>43101.708333333299</v>
      </c>
      <c r="D26" s="24" t="s">
        <v>335</v>
      </c>
      <c r="E26" s="25" t="s">
        <v>335</v>
      </c>
    </row>
  </sheetData>
  <mergeCells count="2">
    <mergeCell ref="D1:E1"/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TP12</vt:lpstr>
      <vt:lpstr>TP13</vt:lpstr>
      <vt:lpstr>TP14</vt:lpstr>
      <vt:lpstr>TP15</vt:lpstr>
      <vt:lpstr>TP16</vt:lpstr>
      <vt:lpstr>TP17</vt:lpstr>
      <vt:lpstr>TP18</vt:lpstr>
      <vt:lpstr>TP19</vt:lpstr>
      <vt:lpstr>TP20</vt:lpstr>
      <vt:lpstr>TP21</vt:lpstr>
      <vt:lpstr>TP22</vt:lpstr>
      <vt:lpstr>TP23</vt:lpstr>
      <vt:lpstr>TP24</vt:lpstr>
      <vt:lpstr>Agenda</vt:lpstr>
      <vt:lpstr>Tracking Overview</vt:lpstr>
      <vt:lpstr>AC, EV, PV</vt:lpstr>
      <vt:lpstr>SPI, SPI(t), p-factor</vt:lpstr>
      <vt:lpstr>Corrective actions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IGNACIO SANTOS MARTIN</cp:lastModifiedBy>
  <dcterms:created xsi:type="dcterms:W3CDTF">2018-05-29T22:26:50Z</dcterms:created>
  <dcterms:modified xsi:type="dcterms:W3CDTF">2025-03-14T12:25:28Z</dcterms:modified>
</cp:coreProperties>
</file>