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universidaddeburgos-my.sharepoint.com/personal/jisantos_ubu_es/Documents/CodeDrive/GitHub/counterEVM-1/dataset/"/>
    </mc:Choice>
  </mc:AlternateContent>
  <xr:revisionPtr revIDLastSave="1" documentId="11_191DC62CBD9728986555525563FA92537621357E" xr6:coauthVersionLast="47" xr6:coauthVersionMax="47" xr10:uidLastSave="{F5B79789-C849-419F-83CE-8B7F0C961DDC}"/>
  <bookViews>
    <workbookView xWindow="-110" yWindow="-110" windowWidth="38620" windowHeight="21100" activeTab="4" xr2:uid="{00000000-000D-0000-FFFF-FFFF00000000}"/>
  </bookViews>
  <sheets>
    <sheet name="Baseline Schedule" sheetId="1" r:id="rId1"/>
    <sheet name="Gantt chart" sheetId="2" r:id="rId2"/>
    <sheet name="Resources" sheetId="3" r:id="rId3"/>
    <sheet name="Risk Analysis" sheetId="4" r:id="rId4"/>
    <sheet name="TP1" sheetId="5" r:id="rId5"/>
    <sheet name="TP2" sheetId="6" r:id="rId6"/>
    <sheet name="TP3" sheetId="7" r:id="rId7"/>
    <sheet name="TP4" sheetId="8" r:id="rId8"/>
    <sheet name="TP5" sheetId="9" r:id="rId9"/>
    <sheet name="TP6" sheetId="10" r:id="rId10"/>
    <sheet name="TP7" sheetId="11" r:id="rId11"/>
    <sheet name="TP8" sheetId="12" r:id="rId12"/>
    <sheet name="TP9" sheetId="13" r:id="rId13"/>
    <sheet name="TP10" sheetId="14" r:id="rId14"/>
    <sheet name="TP11" sheetId="15" r:id="rId15"/>
    <sheet name="Agenda" sheetId="16" r:id="rId16"/>
    <sheet name="Tracking Overview" sheetId="17" r:id="rId17"/>
    <sheet name="AC, EV, PV" sheetId="18" r:id="rId18"/>
    <sheet name="SPI, SPI(t), p-factor" sheetId="19" r:id="rId19"/>
    <sheet name="Corrective actions Overview" sheetId="20" r:id="rId20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<sst xmlns="http://schemas.openxmlformats.org/spreadsheetml/2006/main" count="2118" uniqueCount="335">
  <si>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</si>
  <si>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</si>
  <si>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</si>
  <si>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</si>
  <si>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</si>
  <si>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</si>
  <si>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</si>
  <si>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</si>
  <si>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</si>
  <si>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</si>
  <si>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</si>
  <si>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</si>
  <si>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</si>
  <si>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</si>
  <si>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</si>
  <si>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</si>
  <si>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</si>
  <si>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</si>
  <si>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PROJECT Production Line Change</t>
  </si>
  <si>
    <t>1</t>
  </si>
  <si>
    <t>480d</t>
  </si>
  <si>
    <t>Design</t>
  </si>
  <si>
    <t>1.1</t>
  </si>
  <si>
    <t>291d</t>
  </si>
  <si>
    <t>Refueling Test P8X</t>
  </si>
  <si>
    <t>1.2</t>
  </si>
  <si>
    <t>21d</t>
  </si>
  <si>
    <t>Definition of 2D and 3D for prototypes for P8X</t>
  </si>
  <si>
    <t>1.2.1</t>
  </si>
  <si>
    <t>1d</t>
  </si>
  <si>
    <t>Prototype components assembly &amp;amp; refueling test for P8X</t>
  </si>
  <si>
    <t>1.2.2</t>
  </si>
  <si>
    <t>Refueling Test P1UO</t>
  </si>
  <si>
    <t>1.3</t>
  </si>
  <si>
    <t>Definition of 2D and 3D for prototypes for P1UO</t>
  </si>
  <si>
    <t>1.3.1</t>
  </si>
  <si>
    <t>Prototype components assembly &amp;amp; refueling test for P1UO</t>
  </si>
  <si>
    <t>1.3.2</t>
  </si>
  <si>
    <t>Produce Filler Pipe Blow molds P8x</t>
  </si>
  <si>
    <t>1.4</t>
  </si>
  <si>
    <t>151d</t>
  </si>
  <si>
    <t>Produce Filler Pipe Calibrations P8x</t>
  </si>
  <si>
    <t>1.5</t>
  </si>
  <si>
    <t>156d</t>
  </si>
  <si>
    <t>Produce Filler Pipe Blow mold P1UO</t>
  </si>
  <si>
    <t>1.6</t>
  </si>
  <si>
    <t>117d</t>
  </si>
  <si>
    <t>Produce Filler Pipe Calibration P1UO</t>
  </si>
  <si>
    <t>1.7</t>
  </si>
  <si>
    <t>122d</t>
  </si>
  <si>
    <t>Filler pipe Welding/assembly machine Liberec</t>
  </si>
  <si>
    <t>1.8</t>
  </si>
  <si>
    <t>277d</t>
  </si>
  <si>
    <t>Modification Welding lines Lokeren ‚6D</t>
  </si>
  <si>
    <t>1.9</t>
  </si>
  <si>
    <t>100d</t>
  </si>
  <si>
    <t>Modification ROV web assembly station Lokeren ‚6D (FETE 51)</t>
  </si>
  <si>
    <t>1.10</t>
  </si>
  <si>
    <t>Mariage welder Rennes</t>
  </si>
  <si>
    <t>1.11</t>
  </si>
  <si>
    <t>155d</t>
  </si>
  <si>
    <t>Modification assembly line Rennes</t>
  </si>
  <si>
    <t>1.12</t>
  </si>
  <si>
    <t>152d</t>
  </si>
  <si>
    <t>Modification Leak Tester Rennes</t>
  </si>
  <si>
    <t>1.13</t>
  </si>
  <si>
    <t>127d</t>
  </si>
  <si>
    <t>Mariage welder Sochaux ‚6D</t>
  </si>
  <si>
    <t>1.14</t>
  </si>
  <si>
    <t>211d</t>
  </si>
  <si>
    <t>Modification assembly line Sochaux ‚6D</t>
  </si>
  <si>
    <t>1.15</t>
  </si>
  <si>
    <t>105d</t>
  </si>
  <si>
    <t>Modification Leak Tester Sochaux ‚6D</t>
  </si>
  <si>
    <t>1.16</t>
  </si>
  <si>
    <t>Modification Sequencer and conveyors Sochaux ‚6D</t>
  </si>
  <si>
    <t>1.17</t>
  </si>
  <si>
    <t>130d</t>
  </si>
  <si>
    <t>Production for VRS P8x</t>
  </si>
  <si>
    <t>1.18</t>
  </si>
  <si>
    <t>20d</t>
  </si>
  <si>
    <t>Production for VRS P1UO</t>
  </si>
  <si>
    <t>1.19</t>
  </si>
  <si>
    <t>63d</t>
  </si>
  <si>
    <t>Production for homologation P8x</t>
  </si>
  <si>
    <t>1.20</t>
  </si>
  <si>
    <t>Finalization of all test runs, design systems and go life</t>
  </si>
  <si>
    <t>1.21</t>
  </si>
  <si>
    <t>10d</t>
  </si>
  <si>
    <t>Type</t>
  </si>
  <si>
    <t>Availability</t>
  </si>
  <si>
    <t>Cost/Use</t>
  </si>
  <si>
    <t>Cost/Unit</t>
  </si>
  <si>
    <t>Assigned To</t>
  </si>
  <si>
    <t>Activity Duration Distribution Profiles</t>
  </si>
  <si>
    <t>Description</t>
  </si>
  <si>
    <t>Optimistic</t>
  </si>
  <si>
    <t>Most Probable</t>
  </si>
  <si>
    <t>Pessimistic</t>
  </si>
  <si>
    <t>3840h</t>
  </si>
  <si>
    <t>2328h</t>
  </si>
  <si>
    <t>standard - no risk</t>
  </si>
  <si>
    <t>168h</t>
  </si>
  <si>
    <t>8h</t>
  </si>
  <si>
    <t>1208h</t>
  </si>
  <si>
    <t>1248h</t>
  </si>
  <si>
    <t>936h</t>
  </si>
  <si>
    <t>976h</t>
  </si>
  <si>
    <t>2216h</t>
  </si>
  <si>
    <t>800h</t>
  </si>
  <si>
    <t>1240h</t>
  </si>
  <si>
    <t>1216h</t>
  </si>
  <si>
    <t>1016h</t>
  </si>
  <si>
    <t>1688h</t>
  </si>
  <si>
    <t>840h</t>
  </si>
  <si>
    <t>1040h</t>
  </si>
  <si>
    <t>160h</t>
  </si>
  <si>
    <t>504h</t>
  </si>
  <si>
    <t>80h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</si>
  <si>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</si>
  <si>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</si>
  <si>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</si>
  <si>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</si>
  <si>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</si>
  <si>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</si>
  <si>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</si>
  <si>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</si>
  <si>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</si>
  <si>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</si>
  <si>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</si>
  <si>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</si>
  <si>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</si>
  <si>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</si>
  <si>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</si>
  <si>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TP1</t>
  </si>
  <si>
    <t>15d</t>
  </si>
  <si>
    <t>347d 6h</t>
  </si>
  <si>
    <t>Started</t>
  </si>
  <si>
    <t>0</t>
  </si>
  <si>
    <t>Not Started</t>
  </si>
  <si>
    <t>TP2</t>
  </si>
  <si>
    <t>52d</t>
  </si>
  <si>
    <t>468d</t>
  </si>
  <si>
    <t>TP3</t>
  </si>
  <si>
    <t>123d</t>
  </si>
  <si>
    <t>436d 1h</t>
  </si>
  <si>
    <t>38d</t>
  </si>
  <si>
    <t>Finished</t>
  </si>
  <si>
    <t>18d</t>
  </si>
  <si>
    <t>132d</t>
  </si>
  <si>
    <t>53d 4h</t>
  </si>
  <si>
    <t>TP4</t>
  </si>
  <si>
    <t>200d</t>
  </si>
  <si>
    <t>122d 3h</t>
  </si>
  <si>
    <t>22d</t>
  </si>
  <si>
    <t>9d 3h</t>
  </si>
  <si>
    <t>95d</t>
  </si>
  <si>
    <t>326d 4h</t>
  </si>
  <si>
    <t>285d</t>
  </si>
  <si>
    <t>TP5</t>
  </si>
  <si>
    <t>234d</t>
  </si>
  <si>
    <t>126d</t>
  </si>
  <si>
    <t>56d</t>
  </si>
  <si>
    <t>129d</t>
  </si>
  <si>
    <t>35d</t>
  </si>
  <si>
    <t>117d 1h</t>
  </si>
  <si>
    <t>234d 2h</t>
  </si>
  <si>
    <t>68d</t>
  </si>
  <si>
    <t>24d</t>
  </si>
  <si>
    <t>53d 3h</t>
  </si>
  <si>
    <t>242d 5h</t>
  </si>
  <si>
    <t>353d 7h</t>
  </si>
  <si>
    <t>TP6</t>
  </si>
  <si>
    <t>272d</t>
  </si>
  <si>
    <t>73d</t>
  </si>
  <si>
    <t>9d</t>
  </si>
  <si>
    <t>96d 6h</t>
  </si>
  <si>
    <t>17d</t>
  </si>
  <si>
    <t>113d 6h</t>
  </si>
  <si>
    <t>72d 4h</t>
  </si>
  <si>
    <t>62d</t>
  </si>
  <si>
    <t>59d 5h</t>
  </si>
  <si>
    <t>144d 5h</t>
  </si>
  <si>
    <t>258d 7h</t>
  </si>
  <si>
    <t>37d</t>
  </si>
  <si>
    <t>75d 1h</t>
  </si>
  <si>
    <t>78d 5h</t>
  </si>
  <si>
    <t>39d</t>
  </si>
  <si>
    <t>448d 4h</t>
  </si>
  <si>
    <t>7d</t>
  </si>
  <si>
    <t>28d</t>
  </si>
  <si>
    <t>TP7</t>
  </si>
  <si>
    <t>342d</t>
  </si>
  <si>
    <t>143d</t>
  </si>
  <si>
    <t>17d 5h</t>
  </si>
  <si>
    <t>87d 5h</t>
  </si>
  <si>
    <t>87d</t>
  </si>
  <si>
    <t>107d</t>
  </si>
  <si>
    <t>289d 2h</t>
  </si>
  <si>
    <t>160d 4h</t>
  </si>
  <si>
    <t>227d 3h</t>
  </si>
  <si>
    <t>109d</t>
  </si>
  <si>
    <t>327d</t>
  </si>
  <si>
    <t>77d</t>
  </si>
  <si>
    <t>8d 4h</t>
  </si>
  <si>
    <t>71d</t>
  </si>
  <si>
    <t>TP8</t>
  </si>
  <si>
    <t>390d</t>
  </si>
  <si>
    <t>191d</t>
  </si>
  <si>
    <t>78d</t>
  </si>
  <si>
    <t>157d</t>
  </si>
  <si>
    <t>125d</t>
  </si>
  <si>
    <t>49d</t>
  </si>
  <si>
    <t>TP9</t>
  </si>
  <si>
    <t>407d</t>
  </si>
  <si>
    <t>208d</t>
  </si>
  <si>
    <t>172d</t>
  </si>
  <si>
    <t>174d</t>
  </si>
  <si>
    <t>19d 3h</t>
  </si>
  <si>
    <t>TP10</t>
  </si>
  <si>
    <t>245d</t>
  </si>
  <si>
    <t>43d 2h</t>
  </si>
  <si>
    <t>247d</t>
  </si>
  <si>
    <t>TP11</t>
  </si>
  <si>
    <t>501d</t>
  </si>
  <si>
    <t>266d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</si>
  <si>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</si>
  <si>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</si>
  <si>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</si>
  <si>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</si>
  <si>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</si>
  <si>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</si>
  <si>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</si>
  <si>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</si>
  <si>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</si>
  <si>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</si>
  <si>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</si>
  <si>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</si>
  <si>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</si>
  <si>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</si>
  <si>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</si>
  <si>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</si>
  <si>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</si>
  <si>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</si>
  <si>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</si>
  <si>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</si>
  <si>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</si>
  <si>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</si>
  <si>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</si>
  <si>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</si>
  <si>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</si>
  <si>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</si>
  <si>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</si>
  <si>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</si>
  <si>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</si>
  <si>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</si>
  <si>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</si>
  <si>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</si>
  <si>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</si>
  <si>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</si>
  <si>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</si>
  <si>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</si>
  <si>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</si>
  <si>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</si>
  <si>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</si>
  <si>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</si>
  <si>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</si>
  <si>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</si>
  <si>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</si>
  <si>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</si>
  <si>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</si>
  <si>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</si>
  <si>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</si>
  <si>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</si>
  <si>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</si>
  <si>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</si>
  <si>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</si>
  <si>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</si>
  <si>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</si>
  <si>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</si>
  <si>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</si>
  <si>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</si>
  <si>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</si>
  <si>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</si>
  <si>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</si>
  <si>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</si>
  <si>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</si>
  <si>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</si>
  <si>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</si>
  <si>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</si>
  <si>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</si>
  <si>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</si>
  <si>
    <t>-3d</t>
  </si>
  <si>
    <t>-23d</t>
  </si>
  <si>
    <t>-20d 2h</t>
  </si>
  <si>
    <t>-18d</t>
  </si>
  <si>
    <t>12d 3h</t>
  </si>
  <si>
    <t>13d 2h</t>
  </si>
  <si>
    <t>-2d 4h</t>
  </si>
  <si>
    <t>-20d 1h</t>
  </si>
  <si>
    <t>16d 2h</t>
  </si>
  <si>
    <t>-25d 4h</t>
  </si>
  <si>
    <t>-21d</t>
  </si>
  <si>
    <t>Baseline duration (in calendar days)</t>
  </si>
  <si>
    <t>SPI(t)</t>
  </si>
  <si>
    <t>SPI</t>
  </si>
  <si>
    <t>Corrective actions</t>
  </si>
  <si>
    <t>Category</t>
  </si>
  <si>
    <t>-</t>
  </si>
  <si>
    <t>C5</t>
  </si>
  <si>
    <t>C2</t>
  </si>
  <si>
    <t>C6</t>
  </si>
  <si>
    <t>Involve higher management</t>
  </si>
  <si>
    <t>Status update call subcontractor</t>
  </si>
  <si>
    <t>Overtime work</t>
  </si>
  <si>
    <t>2FS</t>
  </si>
  <si>
    <t>3FS</t>
  </si>
  <si>
    <t>4FS</t>
  </si>
  <si>
    <t>5FS</t>
  </si>
  <si>
    <t>6FS</t>
  </si>
  <si>
    <t>10FS</t>
  </si>
  <si>
    <t>20FS</t>
  </si>
  <si>
    <t>6FS;7FS</t>
  </si>
  <si>
    <t>1FS;11FS;12FS;13FS;14FS;15FS;16FS;17FS;18FS;19FS;21FS;22FS</t>
  </si>
  <si>
    <t>FS23</t>
  </si>
  <si>
    <t>FS3</t>
  </si>
  <si>
    <t>FS4;FS6;FS7</t>
  </si>
  <si>
    <t>FS5;FS10</t>
  </si>
  <si>
    <t>FS8;FS9;FS15;FS16;FS17;FS18;FS19</t>
  </si>
  <si>
    <t>FS11;FS12;FS20</t>
  </si>
  <si>
    <t>FS20</t>
  </si>
  <si>
    <t>FS21</t>
  </si>
  <si>
    <t>FS13;FS14</t>
  </si>
  <si>
    <t>FS22</t>
  </si>
  <si>
    <t>8FS;9FS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</si>
</sst>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€"/>
  </numFmts>
  <fonts count="9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8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316AC5"/>
        <bgColor rgb="FF000000"/>
      </patternFill>
    </fill>
    <fill>
      <patternFill patternType="solid">
        <fgColor rgb="FFD4D0C8"/>
        <bgColor rgb="FF000000"/>
      </patternFill>
    </fill>
    <fill>
      <patternFill patternType="solid">
        <fgColor rgb="FF9BBB59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22" fontId="2" fillId="3" borderId="1" xfId="0" applyNumberFormat="1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22" fontId="2" fillId="4" borderId="1" xfId="0" applyNumberFormat="1" applyFont="1" applyFill="1" applyBorder="1" applyAlignment="1">
      <alignment wrapText="1"/>
    </xf>
    <xf numFmtId="22" fontId="2" fillId="7" borderId="1" xfId="0" applyNumberFormat="1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164" fontId="2" fillId="5" borderId="1" xfId="0" applyNumberFormat="1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5" fillId="0" borderId="0" xfId="0" applyFont="1"/>
    <xf numFmtId="9" fontId="2" fillId="7" borderId="1" xfId="0" applyNumberFormat="1" applyFont="1" applyFill="1" applyBorder="1" applyAlignment="1">
      <alignment wrapText="1"/>
    </xf>
    <xf numFmtId="0" fontId="1" fillId="10" borderId="4" xfId="0" applyFont="1" applyFill="1" applyBorder="1" applyAlignment="1">
      <alignment wrapText="1"/>
    </xf>
    <xf numFmtId="0" fontId="1" fillId="10" borderId="5" xfId="0" applyFont="1" applyFill="1" applyBorder="1" applyAlignment="1">
      <alignment wrapText="1"/>
    </xf>
    <xf numFmtId="49" fontId="6" fillId="11" borderId="1" xfId="0" applyNumberFormat="1" applyFont="1" applyFill="1" applyBorder="1"/>
    <xf numFmtId="49" fontId="6" fillId="11" borderId="6" xfId="0" applyNumberFormat="1" applyFont="1" applyFill="1" applyBorder="1"/>
    <xf numFmtId="49" fontId="6" fillId="11" borderId="7" xfId="0" applyNumberFormat="1" applyFont="1" applyFill="1" applyBorder="1"/>
    <xf numFmtId="49" fontId="6" fillId="11" borderId="8" xfId="0" applyNumberFormat="1" applyFont="1" applyFill="1" applyBorder="1"/>
    <xf numFmtId="0" fontId="1" fillId="2" borderId="1" xfId="0" applyFont="1" applyFill="1" applyBorder="1"/>
    <xf numFmtId="0" fontId="2" fillId="7" borderId="1" xfId="0" applyFont="1" applyFill="1" applyBorder="1"/>
    <xf numFmtId="22" fontId="2" fillId="7" borderId="1" xfId="0" applyNumberFormat="1" applyFont="1" applyFill="1" applyBorder="1"/>
    <xf numFmtId="0" fontId="6" fillId="1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10" borderId="2" xfId="0" applyFont="1" applyFill="1" applyBorder="1" applyAlignment="1">
      <alignment wrapText="1"/>
    </xf>
    <xf numFmtId="0" fontId="1" fillId="10" borderId="3" xfId="0" applyFont="1" applyFill="1" applyBorder="1" applyAlignment="1">
      <alignment wrapText="1"/>
    </xf>
    <xf numFmtId="0" fontId="1" fillId="2" borderId="1" xfId="0" applyFont="1" applyFill="1" applyBorder="1"/>
  </cellXfs>
  <cellStyles count="5">
    <cellStyle name="Hipervínculo" xfId="1" builtinId="8" hidden="1"/>
    <cellStyle name="Hipervínculo" xfId="3" builtinId="8" hidden="1"/>
    <cellStyle name="Hipervínculo visitado" xfId="2" builtinId="9" hidden="1"/>
    <cellStyle name="Hipervínculo visitado" xfId="4" builtinId="9" hidden="1"/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Baseline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Baseline start</c:v>
          </c:tx>
          <c:spPr>
            <a:noFill/>
          </c:spPr>
          <c:invertIfNegative val="0"/>
          <c:cat>
            <c:strRef>
              <c:f>'Baseline Schedule'!$B$4:$B$28</c:f>
              <c:strCache>
                <c:ptCount val="25"/>
                <c:pt idx="0">
                  <c:v>Design</c:v>
                </c:pt>
                <c:pt idx="1">
                  <c:v>Refueling Test P8X</c:v>
                </c:pt>
                <c:pt idx="2">
                  <c:v>Definition of 2D and 3D for prototypes for P8X</c:v>
                </c:pt>
                <c:pt idx="3">
                  <c:v>Prototype components assembly &amp;amp; refueling test for P8X</c:v>
                </c:pt>
                <c:pt idx="4">
                  <c:v>Refueling Test P1UO</c:v>
                </c:pt>
                <c:pt idx="5">
                  <c:v>Definition of 2D and 3D for prototypes for P1UO</c:v>
                </c:pt>
                <c:pt idx="6">
                  <c:v>Prototype components assembly &amp;amp; refueling test for P1UO</c:v>
                </c:pt>
                <c:pt idx="7">
                  <c:v>Produce Filler Pipe Blow molds P8x</c:v>
                </c:pt>
                <c:pt idx="8">
                  <c:v>Produce Filler Pipe Calibrations P8x</c:v>
                </c:pt>
                <c:pt idx="9">
                  <c:v>Produce Filler Pipe Blow mold P1UO</c:v>
                </c:pt>
                <c:pt idx="10">
                  <c:v>Produce Filler Pipe Calibration P1UO</c:v>
                </c:pt>
                <c:pt idx="11">
                  <c:v>Filler pipe Welding/assembly machine Liberec</c:v>
                </c:pt>
                <c:pt idx="12">
                  <c:v>Modification Welding lines Lokeren ‚6D</c:v>
                </c:pt>
                <c:pt idx="13">
                  <c:v>Modification ROV web assembly station Lokeren ‚6D (FETE 51)</c:v>
                </c:pt>
                <c:pt idx="14">
                  <c:v>Mariage welder Rennes</c:v>
                </c:pt>
                <c:pt idx="15">
                  <c:v>Modification assembly line Rennes</c:v>
                </c:pt>
                <c:pt idx="16">
                  <c:v>Modification Leak Tester Rennes</c:v>
                </c:pt>
                <c:pt idx="17">
                  <c:v>Mariage welder Sochaux ‚6D</c:v>
                </c:pt>
                <c:pt idx="18">
                  <c:v>Modification assembly line Sochaux ‚6D</c:v>
                </c:pt>
                <c:pt idx="19">
                  <c:v>Modification Leak Tester Sochaux ‚6D</c:v>
                </c:pt>
                <c:pt idx="20">
                  <c:v>Modification Sequencer and conveyors Sochaux ‚6D</c:v>
                </c:pt>
                <c:pt idx="21">
                  <c:v>Production for VRS P8x</c:v>
                </c:pt>
                <c:pt idx="22">
                  <c:v>Production for VRS P1UO</c:v>
                </c:pt>
                <c:pt idx="23">
                  <c:v>Production for homologation P8x</c:v>
                </c:pt>
                <c:pt idx="24">
                  <c:v>Finalization of all test runs, design systems and go life</c:v>
                </c:pt>
              </c:strCache>
            </c:strRef>
          </c:cat>
          <c:val>
            <c:numRef>
              <c:f>'Baseline Schedule'!$F$4:$F$28</c:f>
              <c:numCache>
                <c:formatCode>m/d/yyyy\ h:mm</c:formatCode>
                <c:ptCount val="25"/>
                <c:pt idx="0">
                  <c:v>42674.333333333299</c:v>
                </c:pt>
                <c:pt idx="1">
                  <c:v>42793.333333333299</c:v>
                </c:pt>
                <c:pt idx="2">
                  <c:v>42793.333333333299</c:v>
                </c:pt>
                <c:pt idx="3">
                  <c:v>42793.333333333299</c:v>
                </c:pt>
                <c:pt idx="4">
                  <c:v>42922.333333333299</c:v>
                </c:pt>
                <c:pt idx="5">
                  <c:v>42922.333333333299</c:v>
                </c:pt>
                <c:pt idx="6">
                  <c:v>42922.333333333299</c:v>
                </c:pt>
                <c:pt idx="7">
                  <c:v>42821.333333333299</c:v>
                </c:pt>
                <c:pt idx="8">
                  <c:v>42821.333333333299</c:v>
                </c:pt>
                <c:pt idx="9">
                  <c:v>42950.333333333299</c:v>
                </c:pt>
                <c:pt idx="10">
                  <c:v>42950.333333333299</c:v>
                </c:pt>
                <c:pt idx="11">
                  <c:v>42944.333333333299</c:v>
                </c:pt>
                <c:pt idx="12">
                  <c:v>43031.333333333299</c:v>
                </c:pt>
                <c:pt idx="13">
                  <c:v>43031.333333333299</c:v>
                </c:pt>
                <c:pt idx="14">
                  <c:v>42968.333333333299</c:v>
                </c:pt>
                <c:pt idx="15">
                  <c:v>42968.333333333299</c:v>
                </c:pt>
                <c:pt idx="16">
                  <c:v>43003.333333333299</c:v>
                </c:pt>
                <c:pt idx="17">
                  <c:v>43003.333333333299</c:v>
                </c:pt>
                <c:pt idx="18">
                  <c:v>43003.333333333299</c:v>
                </c:pt>
                <c:pt idx="19">
                  <c:v>43003.333333333299</c:v>
                </c:pt>
                <c:pt idx="20">
                  <c:v>43059.333333333299</c:v>
                </c:pt>
                <c:pt idx="21">
                  <c:v>43045.333333333299</c:v>
                </c:pt>
                <c:pt idx="22">
                  <c:v>43119.333333333299</c:v>
                </c:pt>
                <c:pt idx="23">
                  <c:v>43070.333333333299</c:v>
                </c:pt>
                <c:pt idx="24">
                  <c:v>43332.333333333299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D-47C9-AA63-6BA0889E91CC}"/>
            </c:ext>
          </c:extLst>
        </c:ser>
        <c:ser>
          <c:idx val="1"/>
          <c:order val="1"/>
          <c:tx>
            <c:v>Actual duration</c:v>
          </c:tx>
          <c:invertIfNegative val="0"/>
          <c:dPt>
            <c:idx val="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2-DA6D-47C9-AA63-6BA0889E91CC}"/>
              </c:ext>
            </c:extLst>
          </c:dPt>
          <c:dPt>
            <c:idx val="1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4-DA6D-47C9-AA63-6BA0889E91CC}"/>
              </c:ext>
            </c:extLst>
          </c:dPt>
          <c:dPt>
            <c:idx val="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6-DA6D-47C9-AA63-6BA0889E91CC}"/>
              </c:ext>
            </c:extLst>
          </c:dPt>
          <c:dPt>
            <c:idx val="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8-DA6D-47C9-AA63-6BA0889E91CC}"/>
              </c:ext>
            </c:extLst>
          </c:dPt>
          <c:dPt>
            <c:idx val="4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A-DA6D-47C9-AA63-6BA0889E91CC}"/>
              </c:ext>
            </c:extLst>
          </c:dPt>
          <c:dPt>
            <c:idx val="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C-DA6D-47C9-AA63-6BA0889E91CC}"/>
              </c:ext>
            </c:extLst>
          </c:dPt>
          <c:dPt>
            <c:idx val="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E-DA6D-47C9-AA63-6BA0889E91CC}"/>
              </c:ext>
            </c:extLst>
          </c:dPt>
          <c:dPt>
            <c:idx val="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0-DA6D-47C9-AA63-6BA0889E91CC}"/>
              </c:ext>
            </c:extLst>
          </c:dPt>
          <c:dPt>
            <c:idx val="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2-DA6D-47C9-AA63-6BA0889E91CC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4-DA6D-47C9-AA63-6BA0889E91CC}"/>
              </c:ext>
            </c:extLst>
          </c:dPt>
          <c:dPt>
            <c:idx val="1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6-DA6D-47C9-AA63-6BA0889E91CC}"/>
              </c:ext>
            </c:extLst>
          </c:dPt>
          <c:dPt>
            <c:idx val="1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8-DA6D-47C9-AA63-6BA0889E91CC}"/>
              </c:ext>
            </c:extLst>
          </c:dPt>
          <c:dPt>
            <c:idx val="1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A-DA6D-47C9-AA63-6BA0889E91CC}"/>
              </c:ext>
            </c:extLst>
          </c:dPt>
          <c:dPt>
            <c:idx val="1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C-DA6D-47C9-AA63-6BA0889E91CC}"/>
              </c:ext>
            </c:extLst>
          </c:dPt>
          <c:dPt>
            <c:idx val="1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E-DA6D-47C9-AA63-6BA0889E91CC}"/>
              </c:ext>
            </c:extLst>
          </c:dPt>
          <c:dPt>
            <c:idx val="1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0-DA6D-47C9-AA63-6BA0889E91CC}"/>
              </c:ext>
            </c:extLst>
          </c:dPt>
          <c:dPt>
            <c:idx val="1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2-DA6D-47C9-AA63-6BA0889E91CC}"/>
              </c:ext>
            </c:extLst>
          </c:dPt>
          <c:dPt>
            <c:idx val="1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4-DA6D-47C9-AA63-6BA0889E91CC}"/>
              </c:ext>
            </c:extLst>
          </c:dPt>
          <c:dPt>
            <c:idx val="1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6-DA6D-47C9-AA63-6BA0889E91CC}"/>
              </c:ext>
            </c:extLst>
          </c:dPt>
          <c:dPt>
            <c:idx val="1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8-DA6D-47C9-AA63-6BA0889E91CC}"/>
              </c:ext>
            </c:extLst>
          </c:dPt>
          <c:dPt>
            <c:idx val="2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A-DA6D-47C9-AA63-6BA0889E91CC}"/>
              </c:ext>
            </c:extLst>
          </c:dPt>
          <c:dPt>
            <c:idx val="2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C-DA6D-47C9-AA63-6BA0889E91CC}"/>
              </c:ext>
            </c:extLst>
          </c:dPt>
          <c:dPt>
            <c:idx val="2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E-DA6D-47C9-AA63-6BA0889E91CC}"/>
              </c:ext>
            </c:extLst>
          </c:dPt>
          <c:dPt>
            <c:idx val="2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0-DA6D-47C9-AA63-6BA0889E91CC}"/>
              </c:ext>
            </c:extLst>
          </c:dPt>
          <c:dPt>
            <c:idx val="2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2-DA6D-47C9-AA63-6BA0889E91CC}"/>
              </c:ext>
            </c:extLst>
          </c:dPt>
          <c:cat>
            <c:strRef>
              <c:f>'Baseline Schedule'!$B$4:$B$28</c:f>
              <c:strCache>
                <c:ptCount val="25"/>
                <c:pt idx="0">
                  <c:v>Design</c:v>
                </c:pt>
                <c:pt idx="1">
                  <c:v>Refueling Test P8X</c:v>
                </c:pt>
                <c:pt idx="2">
                  <c:v>Definition of 2D and 3D for prototypes for P8X</c:v>
                </c:pt>
                <c:pt idx="3">
                  <c:v>Prototype components assembly &amp;amp; refueling test for P8X</c:v>
                </c:pt>
                <c:pt idx="4">
                  <c:v>Refueling Test P1UO</c:v>
                </c:pt>
                <c:pt idx="5">
                  <c:v>Definition of 2D and 3D for prototypes for P1UO</c:v>
                </c:pt>
                <c:pt idx="6">
                  <c:v>Prototype components assembly &amp;amp; refueling test for P1UO</c:v>
                </c:pt>
                <c:pt idx="7">
                  <c:v>Produce Filler Pipe Blow molds P8x</c:v>
                </c:pt>
                <c:pt idx="8">
                  <c:v>Produce Filler Pipe Calibrations P8x</c:v>
                </c:pt>
                <c:pt idx="9">
                  <c:v>Produce Filler Pipe Blow mold P1UO</c:v>
                </c:pt>
                <c:pt idx="10">
                  <c:v>Produce Filler Pipe Calibration P1UO</c:v>
                </c:pt>
                <c:pt idx="11">
                  <c:v>Filler pipe Welding/assembly machine Liberec</c:v>
                </c:pt>
                <c:pt idx="12">
                  <c:v>Modification Welding lines Lokeren ‚6D</c:v>
                </c:pt>
                <c:pt idx="13">
                  <c:v>Modification ROV web assembly station Lokeren ‚6D (FETE 51)</c:v>
                </c:pt>
                <c:pt idx="14">
                  <c:v>Mariage welder Rennes</c:v>
                </c:pt>
                <c:pt idx="15">
                  <c:v>Modification assembly line Rennes</c:v>
                </c:pt>
                <c:pt idx="16">
                  <c:v>Modification Leak Tester Rennes</c:v>
                </c:pt>
                <c:pt idx="17">
                  <c:v>Mariage welder Sochaux ‚6D</c:v>
                </c:pt>
                <c:pt idx="18">
                  <c:v>Modification assembly line Sochaux ‚6D</c:v>
                </c:pt>
                <c:pt idx="19">
                  <c:v>Modification Leak Tester Sochaux ‚6D</c:v>
                </c:pt>
                <c:pt idx="20">
                  <c:v>Modification Sequencer and conveyors Sochaux ‚6D</c:v>
                </c:pt>
                <c:pt idx="21">
                  <c:v>Production for VRS P8x</c:v>
                </c:pt>
                <c:pt idx="22">
                  <c:v>Production for VRS P1UO</c:v>
                </c:pt>
                <c:pt idx="23">
                  <c:v>Production for homologation P8x</c:v>
                </c:pt>
                <c:pt idx="24">
                  <c:v>Finalization of all test runs, design systems and go life</c:v>
                </c:pt>
              </c:strCache>
            </c:strRef>
          </c:cat>
          <c:val>
            <c:numRef>
              <c:f>'Baseline Schedule'!$Q$4:$Q$28</c:f>
              <c:numCache>
                <c:formatCode>General</c:formatCode>
                <c:ptCount val="25"/>
                <c:pt idx="0">
                  <c:v>406.375</c:v>
                </c:pt>
                <c:pt idx="1">
                  <c:v>28.375</c:v>
                </c:pt>
                <c:pt idx="2">
                  <c:v>0.375</c:v>
                </c:pt>
                <c:pt idx="3">
                  <c:v>28.375</c:v>
                </c:pt>
                <c:pt idx="4">
                  <c:v>28.375</c:v>
                </c:pt>
                <c:pt idx="5">
                  <c:v>0.375</c:v>
                </c:pt>
                <c:pt idx="6">
                  <c:v>28.375</c:v>
                </c:pt>
                <c:pt idx="7">
                  <c:v>210.375</c:v>
                </c:pt>
                <c:pt idx="8">
                  <c:v>217.375</c:v>
                </c:pt>
                <c:pt idx="9">
                  <c:v>162.375</c:v>
                </c:pt>
                <c:pt idx="10">
                  <c:v>169.375</c:v>
                </c:pt>
                <c:pt idx="11">
                  <c:v>388.375</c:v>
                </c:pt>
                <c:pt idx="12">
                  <c:v>137.375</c:v>
                </c:pt>
                <c:pt idx="13">
                  <c:v>137.375</c:v>
                </c:pt>
                <c:pt idx="14">
                  <c:v>214.375</c:v>
                </c:pt>
                <c:pt idx="15">
                  <c:v>211.375</c:v>
                </c:pt>
                <c:pt idx="16">
                  <c:v>176.375</c:v>
                </c:pt>
                <c:pt idx="17">
                  <c:v>294.375</c:v>
                </c:pt>
                <c:pt idx="18">
                  <c:v>144.375</c:v>
                </c:pt>
                <c:pt idx="19">
                  <c:v>144.375</c:v>
                </c:pt>
                <c:pt idx="20">
                  <c:v>179.375</c:v>
                </c:pt>
                <c:pt idx="21">
                  <c:v>25.375</c:v>
                </c:pt>
                <c:pt idx="22">
                  <c:v>88.375</c:v>
                </c:pt>
                <c:pt idx="23">
                  <c:v>28.375</c:v>
                </c:pt>
                <c:pt idx="24">
                  <c:v>11.375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A6D-47C9-AA63-6BA0889E9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0749864"/>
        <c:axId val="2095065960"/>
      </c:barChart>
      <c:catAx>
        <c:axId val="21107498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5065960"/>
        <c:crosses val="autoZero"/>
        <c:auto val="1"/>
        <c:lblAlgn val="ctr"/>
        <c:lblOffset val="100"/>
        <c:tickLblSkip val="1"/>
        <c:noMultiLvlLbl val="0"/>
      </c:catAx>
      <c:valAx>
        <c:axId val="2095065960"/>
        <c:scaling>
          <c:orientation val="minMax"/>
          <c:max val="43343.708333333343"/>
          <c:min val="42674.333333333343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dd/mm/yyyy" sourceLinked="0"/>
        <c:majorTickMark val="out"/>
        <c:minorTickMark val="none"/>
        <c:tickLblPos val="nextTo"/>
        <c:crossAx val="21107498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AC, EV, PV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</c:v>
          </c:tx>
          <c:marker>
            <c:symbol val="none"/>
          </c:marker>
          <c:cat>
            <c:strRef>
              <c:f>'Tracking Overview'!$A$3:$A$13</c:f>
              <c:strCache>
                <c:ptCount val="11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  <c:pt idx="10">
                  <c:v>TP11</c:v>
                </c:pt>
              </c:strCache>
            </c:strRef>
          </c:cat>
          <c:val>
            <c:numRef>
              <c:f>'Tracking Overview'!$F$3:$F$13</c:f>
              <c:numCache>
                <c:formatCode>#,##0.00\€</c:formatCode>
                <c:ptCount val="11"/>
                <c:pt idx="0">
                  <c:v>7116.9172932330803</c:v>
                </c:pt>
                <c:pt idx="1">
                  <c:v>17210</c:v>
                </c:pt>
                <c:pt idx="2">
                  <c:v>119086.96598639499</c:v>
                </c:pt>
                <c:pt idx="3">
                  <c:v>236467.06925765099</c:v>
                </c:pt>
                <c:pt idx="4">
                  <c:v>516473</c:v>
                </c:pt>
                <c:pt idx="5">
                  <c:v>790691.5</c:v>
                </c:pt>
                <c:pt idx="6">
                  <c:v>1129790</c:v>
                </c:pt>
                <c:pt idx="7">
                  <c:v>1262570</c:v>
                </c:pt>
                <c:pt idx="8">
                  <c:v>1352970</c:v>
                </c:pt>
                <c:pt idx="9">
                  <c:v>1394570</c:v>
                </c:pt>
                <c:pt idx="10">
                  <c:v>1534060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CE-46FA-AEA8-7D8ADCE8EDE6}"/>
            </c:ext>
          </c:extLst>
        </c:ser>
        <c:ser>
          <c:idx val="1"/>
          <c:order val="1"/>
          <c:tx>
            <c:v>EV</c:v>
          </c:tx>
          <c:marker>
            <c:symbol val="none"/>
          </c:marker>
          <c:cat>
            <c:strRef>
              <c:f>'Tracking Overview'!$A$3:$A$13</c:f>
              <c:strCache>
                <c:ptCount val="11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  <c:pt idx="10">
                  <c:v>TP11</c:v>
                </c:pt>
              </c:strCache>
            </c:strRef>
          </c:cat>
          <c:val>
            <c:numRef>
              <c:f>'Tracking Overview'!$E$3:$E$13</c:f>
              <c:numCache>
                <c:formatCode>#,##0.00\€</c:formatCode>
                <c:ptCount val="11"/>
                <c:pt idx="0">
                  <c:v>6492.48120300751</c:v>
                </c:pt>
                <c:pt idx="1">
                  <c:v>15700</c:v>
                </c:pt>
                <c:pt idx="2">
                  <c:v>118037.414965986</c:v>
                </c:pt>
                <c:pt idx="3">
                  <c:v>233457.64058032399</c:v>
                </c:pt>
                <c:pt idx="4">
                  <c:v>516610</c:v>
                </c:pt>
                <c:pt idx="5">
                  <c:v>788950</c:v>
                </c:pt>
                <c:pt idx="6">
                  <c:v>1126430</c:v>
                </c:pt>
                <c:pt idx="7">
                  <c:v>1257250</c:v>
                </c:pt>
                <c:pt idx="8">
                  <c:v>1338500</c:v>
                </c:pt>
                <c:pt idx="9">
                  <c:v>1373650</c:v>
                </c:pt>
                <c:pt idx="10">
                  <c:v>1512000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CE-46FA-AEA8-7D8ADCE8EDE6}"/>
            </c:ext>
          </c:extLst>
        </c:ser>
        <c:ser>
          <c:idx val="2"/>
          <c:order val="2"/>
          <c:tx>
            <c:v>PV</c:v>
          </c:tx>
          <c:marker>
            <c:symbol val="none"/>
          </c:marker>
          <c:cat>
            <c:strRef>
              <c:f>'Tracking Overview'!$A$3:$A$13</c:f>
              <c:strCache>
                <c:ptCount val="11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  <c:pt idx="10">
                  <c:v>TP11</c:v>
                </c:pt>
              </c:strCache>
            </c:strRef>
          </c:cat>
          <c:val>
            <c:numRef>
              <c:f>'Tracking Overview'!$D$3:$D$13</c:f>
              <c:numCache>
                <c:formatCode>#,##0.00\€</c:formatCode>
                <c:ptCount val="11"/>
                <c:pt idx="0">
                  <c:v>8092.7835051546399</c:v>
                </c:pt>
                <c:pt idx="1">
                  <c:v>28054.982817869401</c:v>
                </c:pt>
                <c:pt idx="2">
                  <c:v>146813.19356549799</c:v>
                </c:pt>
                <c:pt idx="3">
                  <c:v>294932.96819334599</c:v>
                </c:pt>
                <c:pt idx="4">
                  <c:v>440829.70824007801</c:v>
                </c:pt>
                <c:pt idx="5">
                  <c:v>686858.43560635601</c:v>
                </c:pt>
                <c:pt idx="6">
                  <c:v>1138969.75280904</c:v>
                </c:pt>
                <c:pt idx="7">
                  <c:v>1292969.53847733</c:v>
                </c:pt>
                <c:pt idx="8">
                  <c:v>1318564.20346639</c:v>
                </c:pt>
                <c:pt idx="9">
                  <c:v>1512000</c:v>
                </c:pt>
                <c:pt idx="10">
                  <c:v>1512000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CE-46FA-AEA8-7D8ADCE8E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7698456"/>
        <c:axId val="2107703880"/>
      </c:lineChart>
      <c:catAx>
        <c:axId val="2107698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107703880"/>
        <c:crosses val="autoZero"/>
        <c:auto val="1"/>
        <c:lblAlgn val="ctr"/>
        <c:lblOffset val="100"/>
        <c:noMultiLvlLbl val="0"/>
      </c:catAx>
      <c:valAx>
        <c:axId val="21077038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2107698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SPI, SPI(t), p-factor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Overview'!$A$3:$A$13</c:f>
              <c:strCache>
                <c:ptCount val="11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  <c:pt idx="10">
                  <c:v>TP11</c:v>
                </c:pt>
              </c:strCache>
            </c:strRef>
          </c:cat>
          <c:val>
            <c:numRef>
              <c:f>'Tracking Overview'!$AF$3:$AF$13</c:f>
              <c:numCache>
                <c:formatCode>General</c:formatCode>
                <c:ptCount val="11"/>
                <c:pt idx="0">
                  <c:v>0.8</c:v>
                </c:pt>
                <c:pt idx="1">
                  <c:v>0.55769230769230804</c:v>
                </c:pt>
                <c:pt idx="2">
                  <c:v>0.83536585365853699</c:v>
                </c:pt>
                <c:pt idx="3">
                  <c:v>0.91</c:v>
                </c:pt>
                <c:pt idx="4">
                  <c:v>1.0528846153846201</c:v>
                </c:pt>
                <c:pt idx="5">
                  <c:v>1.04871323529412</c:v>
                </c:pt>
                <c:pt idx="6">
                  <c:v>0.99269005847953196</c:v>
                </c:pt>
                <c:pt idx="7">
                  <c:v>0.94839743589743597</c:v>
                </c:pt>
                <c:pt idx="8">
                  <c:v>1.03992628992629</c:v>
                </c:pt>
                <c:pt idx="9">
                  <c:v>0.94687500000000002</c:v>
                </c:pt>
                <c:pt idx="10">
                  <c:v>0.95808383233532901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59-42D5-B37A-3F75467CA897}"/>
            </c:ext>
          </c:extLst>
        </c:ser>
        <c:ser>
          <c:idx val="1"/>
          <c:order val="1"/>
          <c:tx>
            <c:v>SPI</c:v>
          </c:tx>
          <c:marker>
            <c:symbol val="none"/>
          </c:marker>
          <c:cat>
            <c:strRef>
              <c:f>'Tracking Overview'!$A$3:$A$13</c:f>
              <c:strCache>
                <c:ptCount val="11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  <c:pt idx="10">
                  <c:v>TP11</c:v>
                </c:pt>
              </c:strCache>
            </c:strRef>
          </c:cat>
          <c:val>
            <c:numRef>
              <c:f>'Tracking Overview'!$AH$3:$AH$13</c:f>
              <c:numCache>
                <c:formatCode>General</c:formatCode>
                <c:ptCount val="11"/>
                <c:pt idx="0">
                  <c:v>0.802255639097744</c:v>
                </c:pt>
                <c:pt idx="1">
                  <c:v>0.55961538461538496</c:v>
                </c:pt>
                <c:pt idx="2">
                  <c:v>0.80399732544014402</c:v>
                </c:pt>
                <c:pt idx="3">
                  <c:v>0.79156169624034201</c:v>
                </c:pt>
                <c:pt idx="4">
                  <c:v>1.1719037767723499</c:v>
                </c:pt>
                <c:pt idx="5">
                  <c:v>1.1486355253153699</c:v>
                </c:pt>
                <c:pt idx="6">
                  <c:v>0.98899026705659498</c:v>
                </c:pt>
                <c:pt idx="7">
                  <c:v>0.97237402938401996</c:v>
                </c:pt>
                <c:pt idx="8">
                  <c:v>1.0151193218208101</c:v>
                </c:pt>
                <c:pt idx="9">
                  <c:v>0.90849867724867694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59-42D5-B37A-3F75467CA897}"/>
            </c:ext>
          </c:extLst>
        </c:ser>
        <c:ser>
          <c:idx val="2"/>
          <c:order val="2"/>
          <c:tx>
            <c:v>p-factor</c:v>
          </c:tx>
          <c:marker>
            <c:symbol val="none"/>
          </c:marker>
          <c:cat>
            <c:strRef>
              <c:f>'Tracking Overview'!$A$3:$A$13</c:f>
              <c:strCache>
                <c:ptCount val="11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  <c:pt idx="10">
                  <c:v>TP11</c:v>
                </c:pt>
              </c:strCache>
            </c:strRef>
          </c:cat>
          <c:val>
            <c:numRef>
              <c:f>'Tracking Overview'!$AI$3:$AI$13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0.82257143482415795</c:v>
                </c:pt>
                <c:pt idx="3">
                  <c:v>0.90278717999182101</c:v>
                </c:pt>
                <c:pt idx="4">
                  <c:v>0.871510171982249</c:v>
                </c:pt>
                <c:pt idx="5">
                  <c:v>0.93801012383554405</c:v>
                </c:pt>
                <c:pt idx="6">
                  <c:v>0.917643833315406</c:v>
                </c:pt>
                <c:pt idx="7">
                  <c:v>0.98283175863099204</c:v>
                </c:pt>
                <c:pt idx="8">
                  <c:v>0.970937167625606</c:v>
                </c:pt>
                <c:pt idx="9">
                  <c:v>0.99028099551495297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59-42D5-B37A-3F75467CA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9973432"/>
        <c:axId val="2109978856"/>
      </c:lineChart>
      <c:catAx>
        <c:axId val="2109973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109978856"/>
        <c:crosses val="autoZero"/>
        <c:auto val="1"/>
        <c:lblAlgn val="ctr"/>
        <c:lblOffset val="100"/>
        <c:noMultiLvlLbl val="0"/>
      </c:catAx>
      <c:valAx>
        <c:axId val="21099788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09973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381000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workbookViewId="0">
      <selection activeCell="E6" sqref="E6"/>
    </sheetView>
  </sheetViews>
  <sheetFormatPr baseColWidth="10" defaultColWidth="8.81640625" defaultRowHeight="14.5" x14ac:dyDescent="0.35"/>
  <cols>
    <col min="1" max="1" width="3.6328125" customWidth="1"/>
    <col min="2" max="2" width="25.6328125" customWidth="1"/>
    <col min="3" max="3" width="5.6328125" customWidth="1"/>
    <col min="4" max="5" width="16.6328125" customWidth="1"/>
    <col min="6" max="7" width="13.6328125" customWidth="1"/>
    <col min="8" max="8" width="8.6328125" customWidth="1"/>
    <col min="9" max="9" width="25.6328125" customWidth="1"/>
    <col min="10" max="12" width="10.6328125" customWidth="1"/>
    <col min="13" max="13" width="9.36328125" bestFit="1" customWidth="1"/>
    <col min="14" max="14" width="12.6328125" customWidth="1"/>
  </cols>
  <sheetData>
    <row r="1" spans="1:17" x14ac:dyDescent="0.35">
      <c r="A1" s="30" t="s">
        <v>0</v>
      </c>
      <c r="B1" s="30"/>
      <c r="C1" s="30"/>
      <c r="D1" s="30" t="s">
        <v>1</v>
      </c>
      <c r="E1" s="30"/>
      <c r="F1" s="30" t="s">
        <v>2</v>
      </c>
      <c r="G1" s="30"/>
      <c r="H1" s="30"/>
      <c r="I1" s="30" t="s">
        <v>3</v>
      </c>
      <c r="J1" s="30"/>
      <c r="K1" s="30" t="s">
        <v>4</v>
      </c>
      <c r="L1" s="30"/>
      <c r="M1" s="30"/>
      <c r="N1" s="30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 t="s">
        <v>303</v>
      </c>
    </row>
    <row r="3" spans="1:17" x14ac:dyDescent="0.35">
      <c r="A3" s="2">
        <v>0</v>
      </c>
      <c r="B3" s="3" t="s">
        <v>18</v>
      </c>
      <c r="C3" s="4" t="s">
        <v>19</v>
      </c>
      <c r="D3" s="2"/>
      <c r="E3" s="2"/>
      <c r="F3" s="5">
        <v>42674.333333333299</v>
      </c>
      <c r="G3" s="5">
        <v>43343.708333333299</v>
      </c>
      <c r="H3" s="2" t="s">
        <v>20</v>
      </c>
      <c r="I3" s="2"/>
      <c r="J3" s="6"/>
      <c r="K3" s="6">
        <v>0</v>
      </c>
      <c r="L3" s="6"/>
      <c r="M3" s="6"/>
      <c r="N3" s="6">
        <v>1512000</v>
      </c>
      <c r="Q3" s="7">
        <v>669.375</v>
      </c>
    </row>
    <row r="4" spans="1:17" x14ac:dyDescent="0.35">
      <c r="A4" s="3">
        <v>1</v>
      </c>
      <c r="B4" s="3" t="s">
        <v>21</v>
      </c>
      <c r="C4" s="4" t="s">
        <v>22</v>
      </c>
      <c r="D4" s="3"/>
      <c r="E4" s="3" t="s">
        <v>324</v>
      </c>
      <c r="F4" s="8">
        <v>42674.333333333299</v>
      </c>
      <c r="G4" s="9">
        <v>43080.708333333299</v>
      </c>
      <c r="H4" s="3" t="s">
        <v>23</v>
      </c>
      <c r="I4" s="4"/>
      <c r="J4" s="10">
        <v>0</v>
      </c>
      <c r="K4" s="11">
        <v>0</v>
      </c>
      <c r="L4" s="10">
        <v>67.439862542955296</v>
      </c>
      <c r="M4" s="11">
        <v>157000</v>
      </c>
      <c r="N4" s="10">
        <v>157000</v>
      </c>
      <c r="Q4" s="7">
        <v>406.375</v>
      </c>
    </row>
    <row r="5" spans="1:17" x14ac:dyDescent="0.35">
      <c r="A5" s="4">
        <v>26</v>
      </c>
      <c r="B5" s="4" t="s">
        <v>24</v>
      </c>
      <c r="C5" s="4" t="s">
        <v>25</v>
      </c>
      <c r="D5" s="2"/>
      <c r="E5" s="2"/>
      <c r="F5" s="5">
        <v>42793.333333333299</v>
      </c>
      <c r="G5" s="5">
        <v>42821.708333333299</v>
      </c>
      <c r="H5" s="2" t="s">
        <v>26</v>
      </c>
      <c r="I5" s="2"/>
      <c r="J5" s="6"/>
      <c r="K5" s="6">
        <v>0</v>
      </c>
      <c r="L5" s="6"/>
      <c r="M5" s="6"/>
      <c r="N5" s="6">
        <v>71000</v>
      </c>
      <c r="Q5" s="7">
        <v>28.375</v>
      </c>
    </row>
    <row r="6" spans="1:17" ht="22" x14ac:dyDescent="0.35">
      <c r="A6" s="3">
        <v>2</v>
      </c>
      <c r="B6" s="3" t="s">
        <v>27</v>
      </c>
      <c r="C6" s="4" t="s">
        <v>28</v>
      </c>
      <c r="D6" s="3"/>
      <c r="E6" s="3" t="s">
        <v>325</v>
      </c>
      <c r="F6" s="8">
        <v>42793.333333333299</v>
      </c>
      <c r="G6" s="9">
        <v>42793.708333333299</v>
      </c>
      <c r="H6" s="3" t="s">
        <v>29</v>
      </c>
      <c r="I6" s="4"/>
      <c r="J6" s="10">
        <v>0</v>
      </c>
      <c r="K6" s="11">
        <v>0</v>
      </c>
      <c r="L6" s="10">
        <v>1875</v>
      </c>
      <c r="M6" s="11">
        <v>15000</v>
      </c>
      <c r="N6" s="10">
        <v>15000</v>
      </c>
      <c r="Q6" s="7">
        <v>0.375</v>
      </c>
    </row>
    <row r="7" spans="1:17" ht="22" x14ac:dyDescent="0.35">
      <c r="A7" s="3">
        <v>3</v>
      </c>
      <c r="B7" s="3" t="s">
        <v>30</v>
      </c>
      <c r="C7" s="4" t="s">
        <v>31</v>
      </c>
      <c r="D7" s="3" t="s">
        <v>315</v>
      </c>
      <c r="E7" s="3" t="s">
        <v>326</v>
      </c>
      <c r="F7" s="8">
        <v>42793.333333333299</v>
      </c>
      <c r="G7" s="9">
        <v>42821.708333333299</v>
      </c>
      <c r="H7" s="3" t="s">
        <v>26</v>
      </c>
      <c r="I7" s="4"/>
      <c r="J7" s="10">
        <v>0</v>
      </c>
      <c r="K7" s="11">
        <v>0</v>
      </c>
      <c r="L7" s="10">
        <v>333.33333333333297</v>
      </c>
      <c r="M7" s="11">
        <v>56000</v>
      </c>
      <c r="N7" s="10">
        <v>56000</v>
      </c>
      <c r="Q7" s="7">
        <v>28.375</v>
      </c>
    </row>
    <row r="8" spans="1:17" x14ac:dyDescent="0.35">
      <c r="A8" s="4">
        <v>27</v>
      </c>
      <c r="B8" s="4" t="s">
        <v>32</v>
      </c>
      <c r="C8" s="4" t="s">
        <v>33</v>
      </c>
      <c r="D8" s="2"/>
      <c r="E8" s="2"/>
      <c r="F8" s="5">
        <v>42922.333333333299</v>
      </c>
      <c r="G8" s="5">
        <v>42950.708333333299</v>
      </c>
      <c r="H8" s="2" t="s">
        <v>26</v>
      </c>
      <c r="I8" s="2"/>
      <c r="J8" s="6"/>
      <c r="K8" s="6">
        <v>0</v>
      </c>
      <c r="L8" s="6"/>
      <c r="M8" s="6"/>
      <c r="N8" s="6">
        <v>60000</v>
      </c>
      <c r="Q8" s="7">
        <v>28.375</v>
      </c>
    </row>
    <row r="9" spans="1:17" ht="22" x14ac:dyDescent="0.35">
      <c r="A9" s="3">
        <v>4</v>
      </c>
      <c r="B9" s="3" t="s">
        <v>34</v>
      </c>
      <c r="C9" s="4" t="s">
        <v>35</v>
      </c>
      <c r="D9" s="3" t="s">
        <v>316</v>
      </c>
      <c r="E9" s="3" t="s">
        <v>327</v>
      </c>
      <c r="F9" s="8">
        <v>42922.333333333299</v>
      </c>
      <c r="G9" s="9">
        <v>42922.708333333299</v>
      </c>
      <c r="H9" s="3" t="s">
        <v>29</v>
      </c>
      <c r="I9" s="4"/>
      <c r="J9" s="10">
        <v>0</v>
      </c>
      <c r="K9" s="11">
        <v>0</v>
      </c>
      <c r="L9" s="10">
        <v>1875</v>
      </c>
      <c r="M9" s="11">
        <v>15000</v>
      </c>
      <c r="N9" s="10">
        <v>15000</v>
      </c>
      <c r="Q9" s="7">
        <v>0.375</v>
      </c>
    </row>
    <row r="10" spans="1:17" ht="22" x14ac:dyDescent="0.35">
      <c r="A10" s="3">
        <v>5</v>
      </c>
      <c r="B10" s="3" t="s">
        <v>36</v>
      </c>
      <c r="C10" s="4" t="s">
        <v>37</v>
      </c>
      <c r="D10" s="3" t="s">
        <v>317</v>
      </c>
      <c r="E10" s="3" t="s">
        <v>328</v>
      </c>
      <c r="F10" s="8">
        <v>42922.333333333299</v>
      </c>
      <c r="G10" s="9">
        <v>42950.708333333299</v>
      </c>
      <c r="H10" s="3" t="s">
        <v>26</v>
      </c>
      <c r="I10" s="4"/>
      <c r="J10" s="10">
        <v>0</v>
      </c>
      <c r="K10" s="11">
        <v>0</v>
      </c>
      <c r="L10" s="10">
        <v>267.857142857143</v>
      </c>
      <c r="M10" s="11">
        <v>45000</v>
      </c>
      <c r="N10" s="10">
        <v>45000</v>
      </c>
      <c r="Q10" s="7">
        <v>28.375</v>
      </c>
    </row>
    <row r="11" spans="1:17" x14ac:dyDescent="0.35">
      <c r="A11" s="3">
        <v>6</v>
      </c>
      <c r="B11" s="3" t="s">
        <v>38</v>
      </c>
      <c r="C11" s="4" t="s">
        <v>39</v>
      </c>
      <c r="D11" s="3" t="s">
        <v>316</v>
      </c>
      <c r="E11" s="3" t="s">
        <v>329</v>
      </c>
      <c r="F11" s="8">
        <v>42821.333333333299</v>
      </c>
      <c r="G11" s="9">
        <v>43031.708333333299</v>
      </c>
      <c r="H11" s="3" t="s">
        <v>40</v>
      </c>
      <c r="I11" s="4"/>
      <c r="J11" s="10">
        <v>0</v>
      </c>
      <c r="K11" s="11">
        <v>0</v>
      </c>
      <c r="L11" s="10">
        <v>48.013245033112597</v>
      </c>
      <c r="M11" s="11">
        <v>58000</v>
      </c>
      <c r="N11" s="10">
        <v>58000</v>
      </c>
      <c r="Q11" s="7">
        <v>210.375</v>
      </c>
    </row>
    <row r="12" spans="1:17" x14ac:dyDescent="0.35">
      <c r="A12" s="3">
        <v>7</v>
      </c>
      <c r="B12" s="3" t="s">
        <v>41</v>
      </c>
      <c r="C12" s="4" t="s">
        <v>42</v>
      </c>
      <c r="D12" s="3" t="s">
        <v>316</v>
      </c>
      <c r="E12" s="3" t="s">
        <v>330</v>
      </c>
      <c r="F12" s="8">
        <v>42821.333333333299</v>
      </c>
      <c r="G12" s="9">
        <v>43038.708333333299</v>
      </c>
      <c r="H12" s="3" t="s">
        <v>43</v>
      </c>
      <c r="I12" s="4"/>
      <c r="J12" s="10">
        <v>0</v>
      </c>
      <c r="K12" s="11">
        <v>0</v>
      </c>
      <c r="L12" s="10">
        <v>17.628205128205099</v>
      </c>
      <c r="M12" s="11">
        <v>22000</v>
      </c>
      <c r="N12" s="10">
        <v>22000</v>
      </c>
      <c r="Q12" s="7">
        <v>217.375</v>
      </c>
    </row>
    <row r="13" spans="1:17" x14ac:dyDescent="0.35">
      <c r="A13" s="3">
        <v>8</v>
      </c>
      <c r="B13" s="3" t="s">
        <v>44</v>
      </c>
      <c r="C13" s="4" t="s">
        <v>45</v>
      </c>
      <c r="D13" s="3" t="s">
        <v>318</v>
      </c>
      <c r="E13" s="3" t="s">
        <v>331</v>
      </c>
      <c r="F13" s="8">
        <v>42950.333333333299</v>
      </c>
      <c r="G13" s="9">
        <v>43112.708333333299</v>
      </c>
      <c r="H13" s="3" t="s">
        <v>46</v>
      </c>
      <c r="I13" s="4"/>
      <c r="J13" s="10">
        <v>0</v>
      </c>
      <c r="K13" s="11">
        <v>0</v>
      </c>
      <c r="L13" s="10">
        <v>58.760683760683797</v>
      </c>
      <c r="M13" s="11">
        <v>55000</v>
      </c>
      <c r="N13" s="10">
        <v>55000</v>
      </c>
      <c r="Q13" s="7">
        <v>162.375</v>
      </c>
    </row>
    <row r="14" spans="1:17" x14ac:dyDescent="0.35">
      <c r="A14" s="3">
        <v>9</v>
      </c>
      <c r="B14" s="3" t="s">
        <v>47</v>
      </c>
      <c r="C14" s="4" t="s">
        <v>48</v>
      </c>
      <c r="D14" s="3" t="s">
        <v>318</v>
      </c>
      <c r="E14" s="3" t="s">
        <v>331</v>
      </c>
      <c r="F14" s="8">
        <v>42950.333333333299</v>
      </c>
      <c r="G14" s="9">
        <v>43119.708333333299</v>
      </c>
      <c r="H14" s="3" t="s">
        <v>49</v>
      </c>
      <c r="I14" s="4"/>
      <c r="J14" s="10">
        <v>0</v>
      </c>
      <c r="K14" s="11">
        <v>0</v>
      </c>
      <c r="L14" s="10">
        <v>20.491803278688501</v>
      </c>
      <c r="M14" s="11">
        <v>20000</v>
      </c>
      <c r="N14" s="10">
        <v>20000</v>
      </c>
      <c r="Q14" s="7">
        <v>169.375</v>
      </c>
    </row>
    <row r="15" spans="1:17" ht="22" x14ac:dyDescent="0.35">
      <c r="A15" s="3">
        <v>10</v>
      </c>
      <c r="B15" s="3" t="s">
        <v>50</v>
      </c>
      <c r="C15" s="4" t="s">
        <v>51</v>
      </c>
      <c r="D15" s="3" t="s">
        <v>317</v>
      </c>
      <c r="E15" s="3" t="s">
        <v>332</v>
      </c>
      <c r="F15" s="8">
        <v>42944.333333333299</v>
      </c>
      <c r="G15" s="9">
        <v>43332.708333333299</v>
      </c>
      <c r="H15" s="3" t="s">
        <v>52</v>
      </c>
      <c r="I15" s="4"/>
      <c r="J15" s="10">
        <v>0</v>
      </c>
      <c r="K15" s="11">
        <v>0</v>
      </c>
      <c r="L15" s="10">
        <v>101.534296028881</v>
      </c>
      <c r="M15" s="11">
        <v>225000</v>
      </c>
      <c r="N15" s="10">
        <v>225000</v>
      </c>
      <c r="Q15" s="7">
        <v>388.375</v>
      </c>
    </row>
    <row r="16" spans="1:17" x14ac:dyDescent="0.35">
      <c r="A16" s="3">
        <v>11</v>
      </c>
      <c r="B16" s="3" t="s">
        <v>53</v>
      </c>
      <c r="C16" s="4" t="s">
        <v>54</v>
      </c>
      <c r="D16" s="3" t="s">
        <v>319</v>
      </c>
      <c r="E16" s="3" t="s">
        <v>324</v>
      </c>
      <c r="F16" s="8">
        <v>43031.333333333299</v>
      </c>
      <c r="G16" s="9">
        <v>43168.708333333299</v>
      </c>
      <c r="H16" s="3" t="s">
        <v>55</v>
      </c>
      <c r="I16" s="4"/>
      <c r="J16" s="10">
        <v>0</v>
      </c>
      <c r="K16" s="11">
        <v>0</v>
      </c>
      <c r="L16" s="10">
        <v>10</v>
      </c>
      <c r="M16" s="11">
        <v>8000</v>
      </c>
      <c r="N16" s="10">
        <v>8000</v>
      </c>
      <c r="Q16" s="7">
        <v>137.375</v>
      </c>
    </row>
    <row r="17" spans="1:17" ht="22" x14ac:dyDescent="0.35">
      <c r="A17" s="3">
        <v>12</v>
      </c>
      <c r="B17" s="3" t="s">
        <v>56</v>
      </c>
      <c r="C17" s="4" t="s">
        <v>57</v>
      </c>
      <c r="D17" s="3" t="s">
        <v>319</v>
      </c>
      <c r="E17" s="3" t="s">
        <v>324</v>
      </c>
      <c r="F17" s="8">
        <v>43031.333333333299</v>
      </c>
      <c r="G17" s="9">
        <v>43168.708333333299</v>
      </c>
      <c r="H17" s="3" t="s">
        <v>55</v>
      </c>
      <c r="I17" s="4"/>
      <c r="J17" s="10">
        <v>0</v>
      </c>
      <c r="K17" s="11">
        <v>0</v>
      </c>
      <c r="L17" s="10">
        <v>43.75</v>
      </c>
      <c r="M17" s="11">
        <v>35000</v>
      </c>
      <c r="N17" s="10">
        <v>35000</v>
      </c>
      <c r="Q17" s="7">
        <v>137.375</v>
      </c>
    </row>
    <row r="18" spans="1:17" x14ac:dyDescent="0.35">
      <c r="A18" s="3">
        <v>13</v>
      </c>
      <c r="B18" s="3" t="s">
        <v>58</v>
      </c>
      <c r="C18" s="4" t="s">
        <v>59</v>
      </c>
      <c r="D18" s="3" t="s">
        <v>320</v>
      </c>
      <c r="E18" s="3" t="s">
        <v>324</v>
      </c>
      <c r="F18" s="8">
        <v>42968.333333333299</v>
      </c>
      <c r="G18" s="9">
        <v>43182.708333333299</v>
      </c>
      <c r="H18" s="3" t="s">
        <v>60</v>
      </c>
      <c r="I18" s="4"/>
      <c r="J18" s="10">
        <v>0</v>
      </c>
      <c r="K18" s="11">
        <v>0</v>
      </c>
      <c r="L18" s="10">
        <v>278.22580645161298</v>
      </c>
      <c r="M18" s="11">
        <v>345000</v>
      </c>
      <c r="N18" s="10">
        <v>345000</v>
      </c>
      <c r="Q18" s="7">
        <v>214.375</v>
      </c>
    </row>
    <row r="19" spans="1:17" x14ac:dyDescent="0.35">
      <c r="A19" s="3">
        <v>14</v>
      </c>
      <c r="B19" s="3" t="s">
        <v>61</v>
      </c>
      <c r="C19" s="4" t="s">
        <v>62</v>
      </c>
      <c r="D19" s="3" t="s">
        <v>320</v>
      </c>
      <c r="E19" s="3" t="s">
        <v>324</v>
      </c>
      <c r="F19" s="8">
        <v>42968.333333333299</v>
      </c>
      <c r="G19" s="9">
        <v>43179.708333333299</v>
      </c>
      <c r="H19" s="3" t="s">
        <v>63</v>
      </c>
      <c r="I19" s="4"/>
      <c r="J19" s="10">
        <v>0</v>
      </c>
      <c r="K19" s="11">
        <v>0</v>
      </c>
      <c r="L19" s="10">
        <v>37.006578947368403</v>
      </c>
      <c r="M19" s="11">
        <v>45000</v>
      </c>
      <c r="N19" s="10">
        <v>45000</v>
      </c>
      <c r="Q19" s="7">
        <v>211.375</v>
      </c>
    </row>
    <row r="20" spans="1:17" x14ac:dyDescent="0.35">
      <c r="A20" s="3">
        <v>15</v>
      </c>
      <c r="B20" s="3" t="s">
        <v>64</v>
      </c>
      <c r="C20" s="4" t="s">
        <v>65</v>
      </c>
      <c r="D20" s="3" t="s">
        <v>318</v>
      </c>
      <c r="E20" s="3" t="s">
        <v>324</v>
      </c>
      <c r="F20" s="8">
        <v>43003.333333333299</v>
      </c>
      <c r="G20" s="9">
        <v>43179.708333333299</v>
      </c>
      <c r="H20" s="3" t="s">
        <v>66</v>
      </c>
      <c r="I20" s="4"/>
      <c r="J20" s="10">
        <v>0</v>
      </c>
      <c r="K20" s="11">
        <v>0</v>
      </c>
      <c r="L20" s="10">
        <v>8.8582677165354298</v>
      </c>
      <c r="M20" s="11">
        <v>9000</v>
      </c>
      <c r="N20" s="10">
        <v>9000</v>
      </c>
      <c r="Q20" s="7">
        <v>176.375</v>
      </c>
    </row>
    <row r="21" spans="1:17" x14ac:dyDescent="0.35">
      <c r="A21" s="3">
        <v>16</v>
      </c>
      <c r="B21" s="3" t="s">
        <v>67</v>
      </c>
      <c r="C21" s="4" t="s">
        <v>68</v>
      </c>
      <c r="D21" s="3" t="s">
        <v>318</v>
      </c>
      <c r="E21" s="3" t="s">
        <v>324</v>
      </c>
      <c r="F21" s="8">
        <v>43003.333333333299</v>
      </c>
      <c r="G21" s="9">
        <v>43297.708333333299</v>
      </c>
      <c r="H21" s="3" t="s">
        <v>69</v>
      </c>
      <c r="I21" s="4"/>
      <c r="J21" s="10">
        <v>0</v>
      </c>
      <c r="K21" s="11">
        <v>0</v>
      </c>
      <c r="L21" s="10">
        <v>52.725118483412302</v>
      </c>
      <c r="M21" s="11">
        <v>89000</v>
      </c>
      <c r="N21" s="10">
        <v>89000</v>
      </c>
      <c r="Q21" s="7">
        <v>294.375</v>
      </c>
    </row>
    <row r="22" spans="1:17" x14ac:dyDescent="0.35">
      <c r="A22" s="3">
        <v>17</v>
      </c>
      <c r="B22" s="3" t="s">
        <v>70</v>
      </c>
      <c r="C22" s="4" t="s">
        <v>71</v>
      </c>
      <c r="D22" s="3" t="s">
        <v>318</v>
      </c>
      <c r="E22" s="3" t="s">
        <v>324</v>
      </c>
      <c r="F22" s="8">
        <v>43003.333333333299</v>
      </c>
      <c r="G22" s="9">
        <v>43147.708333333299</v>
      </c>
      <c r="H22" s="3" t="s">
        <v>72</v>
      </c>
      <c r="I22" s="4"/>
      <c r="J22" s="10">
        <v>0</v>
      </c>
      <c r="K22" s="11">
        <v>0</v>
      </c>
      <c r="L22" s="10">
        <v>59.523809523809497</v>
      </c>
      <c r="M22" s="11">
        <v>50000</v>
      </c>
      <c r="N22" s="10">
        <v>50000</v>
      </c>
      <c r="Q22" s="7">
        <v>144.375</v>
      </c>
    </row>
    <row r="23" spans="1:17" x14ac:dyDescent="0.35">
      <c r="A23" s="3">
        <v>18</v>
      </c>
      <c r="B23" s="3" t="s">
        <v>73</v>
      </c>
      <c r="C23" s="4" t="s">
        <v>74</v>
      </c>
      <c r="D23" s="3" t="s">
        <v>318</v>
      </c>
      <c r="E23" s="3" t="s">
        <v>324</v>
      </c>
      <c r="F23" s="8">
        <v>43003.333333333299</v>
      </c>
      <c r="G23" s="9">
        <v>43147.708333333299</v>
      </c>
      <c r="H23" s="3" t="s">
        <v>72</v>
      </c>
      <c r="I23" s="4"/>
      <c r="J23" s="10">
        <v>0</v>
      </c>
      <c r="K23" s="11">
        <v>0</v>
      </c>
      <c r="L23" s="10">
        <v>35.714285714285701</v>
      </c>
      <c r="M23" s="11">
        <v>30000</v>
      </c>
      <c r="N23" s="10">
        <v>30000</v>
      </c>
      <c r="Q23" s="7">
        <v>144.375</v>
      </c>
    </row>
    <row r="24" spans="1:17" ht="22" x14ac:dyDescent="0.35">
      <c r="A24" s="3">
        <v>19</v>
      </c>
      <c r="B24" s="3" t="s">
        <v>75</v>
      </c>
      <c r="C24" s="4" t="s">
        <v>76</v>
      </c>
      <c r="D24" s="3" t="s">
        <v>318</v>
      </c>
      <c r="E24" s="3" t="s">
        <v>324</v>
      </c>
      <c r="F24" s="8">
        <v>43059.333333333299</v>
      </c>
      <c r="G24" s="9">
        <v>43238.708333333299</v>
      </c>
      <c r="H24" s="3" t="s">
        <v>77</v>
      </c>
      <c r="I24" s="4"/>
      <c r="J24" s="10">
        <v>0</v>
      </c>
      <c r="K24" s="11">
        <v>0</v>
      </c>
      <c r="L24" s="10">
        <v>38.461538461538503</v>
      </c>
      <c r="M24" s="11">
        <v>40000</v>
      </c>
      <c r="N24" s="10">
        <v>40000</v>
      </c>
      <c r="Q24" s="7">
        <v>179.375</v>
      </c>
    </row>
    <row r="25" spans="1:17" x14ac:dyDescent="0.35">
      <c r="A25" s="3">
        <v>20</v>
      </c>
      <c r="B25" s="3" t="s">
        <v>78</v>
      </c>
      <c r="C25" s="4" t="s">
        <v>79</v>
      </c>
      <c r="D25" s="3" t="s">
        <v>322</v>
      </c>
      <c r="E25" s="3" t="s">
        <v>333</v>
      </c>
      <c r="F25" s="8">
        <v>43045.333333333299</v>
      </c>
      <c r="G25" s="9">
        <v>43070.708333333299</v>
      </c>
      <c r="H25" s="3" t="s">
        <v>80</v>
      </c>
      <c r="I25" s="4"/>
      <c r="J25" s="10">
        <v>0</v>
      </c>
      <c r="K25" s="11">
        <v>0</v>
      </c>
      <c r="L25" s="10">
        <v>156.25</v>
      </c>
      <c r="M25" s="11">
        <v>25000</v>
      </c>
      <c r="N25" s="10">
        <v>25000</v>
      </c>
      <c r="Q25" s="7">
        <v>25.375</v>
      </c>
    </row>
    <row r="26" spans="1:17" x14ac:dyDescent="0.35">
      <c r="A26" s="3">
        <v>21</v>
      </c>
      <c r="B26" s="3" t="s">
        <v>81</v>
      </c>
      <c r="C26" s="4" t="s">
        <v>82</v>
      </c>
      <c r="D26" s="3" t="s">
        <v>334</v>
      </c>
      <c r="E26" s="29" t="s">
        <v>324</v>
      </c>
      <c r="F26" s="8">
        <v>43119.333333333299</v>
      </c>
      <c r="G26" s="9">
        <v>43207.708333333299</v>
      </c>
      <c r="H26" s="3" t="s">
        <v>83</v>
      </c>
      <c r="I26" s="4"/>
      <c r="J26" s="10">
        <v>0</v>
      </c>
      <c r="K26" s="11">
        <v>0</v>
      </c>
      <c r="L26" s="10">
        <v>49.603174603174601</v>
      </c>
      <c r="M26" s="11">
        <v>25000</v>
      </c>
      <c r="N26" s="10">
        <v>25000</v>
      </c>
      <c r="Q26" s="7">
        <v>88.375</v>
      </c>
    </row>
    <row r="27" spans="1:17" x14ac:dyDescent="0.35">
      <c r="A27" s="3">
        <v>22</v>
      </c>
      <c r="B27" s="3" t="s">
        <v>84</v>
      </c>
      <c r="C27" s="4" t="s">
        <v>85</v>
      </c>
      <c r="D27" s="3" t="s">
        <v>321</v>
      </c>
      <c r="E27" s="29" t="s">
        <v>324</v>
      </c>
      <c r="F27" s="8">
        <v>43070.333333333299</v>
      </c>
      <c r="G27" s="9">
        <v>43098.708333333299</v>
      </c>
      <c r="H27" s="3" t="s">
        <v>26</v>
      </c>
      <c r="I27" s="4"/>
      <c r="J27" s="10">
        <v>0</v>
      </c>
      <c r="K27" s="11">
        <v>0</v>
      </c>
      <c r="L27" s="10">
        <v>107.142857142857</v>
      </c>
      <c r="M27" s="11">
        <v>18000</v>
      </c>
      <c r="N27" s="10">
        <v>18000</v>
      </c>
      <c r="Q27" s="7">
        <v>28.375</v>
      </c>
    </row>
    <row r="28" spans="1:17" ht="32.5" x14ac:dyDescent="0.35">
      <c r="A28" s="3">
        <v>23</v>
      </c>
      <c r="B28" s="3" t="s">
        <v>86</v>
      </c>
      <c r="C28" s="4" t="s">
        <v>87</v>
      </c>
      <c r="D28" s="3" t="s">
        <v>323</v>
      </c>
      <c r="E28" s="3"/>
      <c r="F28" s="8">
        <v>43332.333333333299</v>
      </c>
      <c r="G28" s="9">
        <v>43343.708333333299</v>
      </c>
      <c r="H28" s="3" t="s">
        <v>88</v>
      </c>
      <c r="I28" s="4"/>
      <c r="J28" s="10">
        <v>0</v>
      </c>
      <c r="K28" s="11">
        <v>0</v>
      </c>
      <c r="L28" s="10">
        <v>1562.5</v>
      </c>
      <c r="M28" s="11">
        <v>125000</v>
      </c>
      <c r="N28" s="10">
        <v>125000</v>
      </c>
      <c r="Q28" s="7">
        <v>11.375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1640625" defaultRowHeight="14.5" x14ac:dyDescent="0.35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/>
  </sheetViews>
  <sheetFormatPr baseColWidth="10" defaultColWidth="8.81640625" defaultRowHeight="14.5" x14ac:dyDescent="0.35"/>
  <cols>
    <col min="2" max="2" width="15.6328125" customWidth="1"/>
    <col min="7" max="7" width="40.6328125" customWidth="1"/>
    <col min="8" max="8" width="10.6328125" customWidth="1"/>
  </cols>
  <sheetData>
    <row r="1" spans="1:8" x14ac:dyDescent="0.35">
      <c r="A1" s="30" t="s">
        <v>0</v>
      </c>
      <c r="B1" s="30"/>
      <c r="C1" s="30"/>
      <c r="D1" s="30"/>
      <c r="E1" s="30" t="s">
        <v>13</v>
      </c>
      <c r="F1" s="30"/>
      <c r="G1" s="30" t="s">
        <v>3</v>
      </c>
      <c r="H1" s="30"/>
    </row>
    <row r="2" spans="1:8" ht="25" customHeight="1" x14ac:dyDescent="0.35">
      <c r="A2" s="1" t="s">
        <v>5</v>
      </c>
      <c r="B2" s="1" t="s">
        <v>6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17</v>
      </c>
    </row>
  </sheetData>
  <mergeCells count="3">
    <mergeCell ref="A1:D1"/>
    <mergeCell ref="E1:F1"/>
    <mergeCell ref="G1:H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4" max="4" width="15.6328125" customWidth="1"/>
    <col min="5" max="7" width="12.6328125" customWidth="1"/>
  </cols>
  <sheetData>
    <row r="1" spans="1:7" x14ac:dyDescent="0.35">
      <c r="A1" s="30" t="s">
        <v>0</v>
      </c>
      <c r="B1" s="30"/>
      <c r="C1" s="1" t="s">
        <v>2</v>
      </c>
      <c r="D1" s="30" t="s">
        <v>94</v>
      </c>
      <c r="E1" s="30"/>
      <c r="F1" s="30"/>
      <c r="G1" s="30"/>
    </row>
    <row r="2" spans="1:7" x14ac:dyDescent="0.35">
      <c r="A2" s="1" t="s">
        <v>5</v>
      </c>
      <c r="B2" s="1" t="s">
        <v>6</v>
      </c>
      <c r="C2" s="1" t="s">
        <v>12</v>
      </c>
      <c r="D2" s="1" t="s">
        <v>95</v>
      </c>
      <c r="E2" s="1" t="s">
        <v>96</v>
      </c>
      <c r="F2" s="1" t="s">
        <v>97</v>
      </c>
      <c r="G2" s="1" t="s">
        <v>98</v>
      </c>
    </row>
    <row r="3" spans="1:7" ht="22" x14ac:dyDescent="0.35">
      <c r="A3" s="2">
        <v>0</v>
      </c>
      <c r="B3" s="3" t="s">
        <v>18</v>
      </c>
      <c r="C3" s="2" t="s">
        <v>99</v>
      </c>
      <c r="D3" s="2"/>
      <c r="E3" s="2"/>
      <c r="F3" s="2"/>
      <c r="G3" s="2"/>
    </row>
    <row r="4" spans="1:7" x14ac:dyDescent="0.35">
      <c r="A4" s="3">
        <v>1</v>
      </c>
      <c r="B4" s="3" t="s">
        <v>21</v>
      </c>
      <c r="C4" s="12" t="s">
        <v>100</v>
      </c>
      <c r="D4" s="4" t="s">
        <v>101</v>
      </c>
      <c r="E4" s="4">
        <v>99</v>
      </c>
      <c r="F4" s="4">
        <v>100</v>
      </c>
      <c r="G4" s="4">
        <v>101</v>
      </c>
    </row>
    <row r="5" spans="1:7" x14ac:dyDescent="0.35">
      <c r="A5" s="4">
        <v>26</v>
      </c>
      <c r="B5" s="4" t="s">
        <v>24</v>
      </c>
      <c r="C5" s="2" t="s">
        <v>102</v>
      </c>
      <c r="D5" s="2"/>
      <c r="E5" s="2"/>
      <c r="F5" s="2"/>
      <c r="G5" s="2"/>
    </row>
    <row r="6" spans="1:7" ht="22" x14ac:dyDescent="0.35">
      <c r="A6" s="3">
        <v>2</v>
      </c>
      <c r="B6" s="3" t="s">
        <v>27</v>
      </c>
      <c r="C6" s="12" t="s">
        <v>103</v>
      </c>
      <c r="D6" s="4" t="s">
        <v>101</v>
      </c>
      <c r="E6" s="4">
        <v>99</v>
      </c>
      <c r="F6" s="4">
        <v>100</v>
      </c>
      <c r="G6" s="4">
        <v>101</v>
      </c>
    </row>
    <row r="7" spans="1:7" ht="32.5" x14ac:dyDescent="0.35">
      <c r="A7" s="3">
        <v>3</v>
      </c>
      <c r="B7" s="3" t="s">
        <v>30</v>
      </c>
      <c r="C7" s="12" t="s">
        <v>102</v>
      </c>
      <c r="D7" s="4" t="s">
        <v>101</v>
      </c>
      <c r="E7" s="4">
        <v>99</v>
      </c>
      <c r="F7" s="4">
        <v>100</v>
      </c>
      <c r="G7" s="4">
        <v>101</v>
      </c>
    </row>
    <row r="8" spans="1:7" x14ac:dyDescent="0.35">
      <c r="A8" s="4">
        <v>27</v>
      </c>
      <c r="B8" s="4" t="s">
        <v>32</v>
      </c>
      <c r="C8" s="2" t="s">
        <v>102</v>
      </c>
      <c r="D8" s="2"/>
      <c r="E8" s="2"/>
      <c r="F8" s="2"/>
      <c r="G8" s="2"/>
    </row>
    <row r="9" spans="1:7" ht="22" x14ac:dyDescent="0.35">
      <c r="A9" s="3">
        <v>4</v>
      </c>
      <c r="B9" s="3" t="s">
        <v>34</v>
      </c>
      <c r="C9" s="12" t="s">
        <v>103</v>
      </c>
      <c r="D9" s="4" t="s">
        <v>101</v>
      </c>
      <c r="E9" s="4">
        <v>99</v>
      </c>
      <c r="F9" s="4">
        <v>100</v>
      </c>
      <c r="G9" s="4">
        <v>101</v>
      </c>
    </row>
    <row r="10" spans="1:7" ht="32.5" x14ac:dyDescent="0.35">
      <c r="A10" s="3">
        <v>5</v>
      </c>
      <c r="B10" s="3" t="s">
        <v>36</v>
      </c>
      <c r="C10" s="12" t="s">
        <v>102</v>
      </c>
      <c r="D10" s="4" t="s">
        <v>101</v>
      </c>
      <c r="E10" s="4">
        <v>99</v>
      </c>
      <c r="F10" s="4">
        <v>100</v>
      </c>
      <c r="G10" s="4">
        <v>101</v>
      </c>
    </row>
    <row r="11" spans="1:7" ht="22" x14ac:dyDescent="0.35">
      <c r="A11" s="3">
        <v>6</v>
      </c>
      <c r="B11" s="3" t="s">
        <v>38</v>
      </c>
      <c r="C11" s="12" t="s">
        <v>104</v>
      </c>
      <c r="D11" s="4" t="s">
        <v>101</v>
      </c>
      <c r="E11" s="4">
        <v>99</v>
      </c>
      <c r="F11" s="4">
        <v>100</v>
      </c>
      <c r="G11" s="4">
        <v>101</v>
      </c>
    </row>
    <row r="12" spans="1:7" ht="22" x14ac:dyDescent="0.35">
      <c r="A12" s="3">
        <v>7</v>
      </c>
      <c r="B12" s="3" t="s">
        <v>41</v>
      </c>
      <c r="C12" s="12" t="s">
        <v>105</v>
      </c>
      <c r="D12" s="4" t="s">
        <v>101</v>
      </c>
      <c r="E12" s="4">
        <v>99</v>
      </c>
      <c r="F12" s="4">
        <v>100</v>
      </c>
      <c r="G12" s="4">
        <v>101</v>
      </c>
    </row>
    <row r="13" spans="1:7" ht="22" x14ac:dyDescent="0.35">
      <c r="A13" s="3">
        <v>8</v>
      </c>
      <c r="B13" s="3" t="s">
        <v>44</v>
      </c>
      <c r="C13" s="12" t="s">
        <v>106</v>
      </c>
      <c r="D13" s="4" t="s">
        <v>101</v>
      </c>
      <c r="E13" s="4">
        <v>99</v>
      </c>
      <c r="F13" s="4">
        <v>100</v>
      </c>
      <c r="G13" s="4">
        <v>101</v>
      </c>
    </row>
    <row r="14" spans="1:7" ht="22" x14ac:dyDescent="0.35">
      <c r="A14" s="3">
        <v>9</v>
      </c>
      <c r="B14" s="3" t="s">
        <v>47</v>
      </c>
      <c r="C14" s="12" t="s">
        <v>107</v>
      </c>
      <c r="D14" s="4" t="s">
        <v>101</v>
      </c>
      <c r="E14" s="4">
        <v>99</v>
      </c>
      <c r="F14" s="4">
        <v>100</v>
      </c>
      <c r="G14" s="4">
        <v>101</v>
      </c>
    </row>
    <row r="15" spans="1:7" ht="22" x14ac:dyDescent="0.35">
      <c r="A15" s="3">
        <v>10</v>
      </c>
      <c r="B15" s="3" t="s">
        <v>50</v>
      </c>
      <c r="C15" s="12" t="s">
        <v>108</v>
      </c>
      <c r="D15" s="4" t="s">
        <v>101</v>
      </c>
      <c r="E15" s="4">
        <v>99</v>
      </c>
      <c r="F15" s="4">
        <v>100</v>
      </c>
      <c r="G15" s="4">
        <v>101</v>
      </c>
    </row>
    <row r="16" spans="1:7" ht="22" x14ac:dyDescent="0.35">
      <c r="A16" s="3">
        <v>11</v>
      </c>
      <c r="B16" s="3" t="s">
        <v>53</v>
      </c>
      <c r="C16" s="12" t="s">
        <v>109</v>
      </c>
      <c r="D16" s="4" t="s">
        <v>101</v>
      </c>
      <c r="E16" s="4">
        <v>99</v>
      </c>
      <c r="F16" s="4">
        <v>100</v>
      </c>
      <c r="G16" s="4">
        <v>101</v>
      </c>
    </row>
    <row r="17" spans="1:7" ht="32.5" x14ac:dyDescent="0.35">
      <c r="A17" s="3">
        <v>12</v>
      </c>
      <c r="B17" s="3" t="s">
        <v>56</v>
      </c>
      <c r="C17" s="12" t="s">
        <v>109</v>
      </c>
      <c r="D17" s="4" t="s">
        <v>101</v>
      </c>
      <c r="E17" s="4">
        <v>99</v>
      </c>
      <c r="F17" s="4">
        <v>100</v>
      </c>
      <c r="G17" s="4">
        <v>101</v>
      </c>
    </row>
    <row r="18" spans="1:7" x14ac:dyDescent="0.35">
      <c r="A18" s="3">
        <v>13</v>
      </c>
      <c r="B18" s="3" t="s">
        <v>58</v>
      </c>
      <c r="C18" s="12" t="s">
        <v>110</v>
      </c>
      <c r="D18" s="4" t="s">
        <v>101</v>
      </c>
      <c r="E18" s="4">
        <v>99</v>
      </c>
      <c r="F18" s="4">
        <v>100</v>
      </c>
      <c r="G18" s="4">
        <v>101</v>
      </c>
    </row>
    <row r="19" spans="1:7" ht="22" x14ac:dyDescent="0.35">
      <c r="A19" s="3">
        <v>14</v>
      </c>
      <c r="B19" s="3" t="s">
        <v>61</v>
      </c>
      <c r="C19" s="12" t="s">
        <v>111</v>
      </c>
      <c r="D19" s="4" t="s">
        <v>101</v>
      </c>
      <c r="E19" s="4">
        <v>99</v>
      </c>
      <c r="F19" s="4">
        <v>100</v>
      </c>
      <c r="G19" s="4">
        <v>101</v>
      </c>
    </row>
    <row r="20" spans="1:7" ht="22" x14ac:dyDescent="0.35">
      <c r="A20" s="3">
        <v>15</v>
      </c>
      <c r="B20" s="3" t="s">
        <v>64</v>
      </c>
      <c r="C20" s="12" t="s">
        <v>112</v>
      </c>
      <c r="D20" s="4" t="s">
        <v>101</v>
      </c>
      <c r="E20" s="4">
        <v>99</v>
      </c>
      <c r="F20" s="4">
        <v>100</v>
      </c>
      <c r="G20" s="4">
        <v>101</v>
      </c>
    </row>
    <row r="21" spans="1:7" x14ac:dyDescent="0.35">
      <c r="A21" s="3">
        <v>16</v>
      </c>
      <c r="B21" s="3" t="s">
        <v>67</v>
      </c>
      <c r="C21" s="12" t="s">
        <v>113</v>
      </c>
      <c r="D21" s="4" t="s">
        <v>101</v>
      </c>
      <c r="E21" s="4">
        <v>99</v>
      </c>
      <c r="F21" s="4">
        <v>100</v>
      </c>
      <c r="G21" s="4">
        <v>101</v>
      </c>
    </row>
    <row r="22" spans="1:7" ht="22" x14ac:dyDescent="0.35">
      <c r="A22" s="3">
        <v>17</v>
      </c>
      <c r="B22" s="3" t="s">
        <v>70</v>
      </c>
      <c r="C22" s="12" t="s">
        <v>114</v>
      </c>
      <c r="D22" s="4" t="s">
        <v>101</v>
      </c>
      <c r="E22" s="4">
        <v>99</v>
      </c>
      <c r="F22" s="4">
        <v>100</v>
      </c>
      <c r="G22" s="4">
        <v>101</v>
      </c>
    </row>
    <row r="23" spans="1:7" ht="22" x14ac:dyDescent="0.35">
      <c r="A23" s="3">
        <v>18</v>
      </c>
      <c r="B23" s="3" t="s">
        <v>73</v>
      </c>
      <c r="C23" s="12" t="s">
        <v>114</v>
      </c>
      <c r="D23" s="4" t="s">
        <v>101</v>
      </c>
      <c r="E23" s="4">
        <v>99</v>
      </c>
      <c r="F23" s="4">
        <v>100</v>
      </c>
      <c r="G23" s="4">
        <v>101</v>
      </c>
    </row>
    <row r="24" spans="1:7" ht="22" x14ac:dyDescent="0.35">
      <c r="A24" s="3">
        <v>19</v>
      </c>
      <c r="B24" s="3" t="s">
        <v>75</v>
      </c>
      <c r="C24" s="12" t="s">
        <v>115</v>
      </c>
      <c r="D24" s="4" t="s">
        <v>101</v>
      </c>
      <c r="E24" s="4">
        <v>99</v>
      </c>
      <c r="F24" s="4">
        <v>100</v>
      </c>
      <c r="G24" s="4">
        <v>101</v>
      </c>
    </row>
    <row r="25" spans="1:7" x14ac:dyDescent="0.35">
      <c r="A25" s="3">
        <v>20</v>
      </c>
      <c r="B25" s="3" t="s">
        <v>78</v>
      </c>
      <c r="C25" s="12" t="s">
        <v>116</v>
      </c>
      <c r="D25" s="4" t="s">
        <v>101</v>
      </c>
      <c r="E25" s="4">
        <v>99</v>
      </c>
      <c r="F25" s="4">
        <v>100</v>
      </c>
      <c r="G25" s="4">
        <v>101</v>
      </c>
    </row>
    <row r="26" spans="1:7" x14ac:dyDescent="0.35">
      <c r="A26" s="3">
        <v>21</v>
      </c>
      <c r="B26" s="3" t="s">
        <v>81</v>
      </c>
      <c r="C26" s="12" t="s">
        <v>117</v>
      </c>
      <c r="D26" s="4" t="s">
        <v>101</v>
      </c>
      <c r="E26" s="4">
        <v>99</v>
      </c>
      <c r="F26" s="4">
        <v>100</v>
      </c>
      <c r="G26" s="4">
        <v>101</v>
      </c>
    </row>
    <row r="27" spans="1:7" ht="22" x14ac:dyDescent="0.35">
      <c r="A27" s="3">
        <v>22</v>
      </c>
      <c r="B27" s="3" t="s">
        <v>84</v>
      </c>
      <c r="C27" s="12" t="s">
        <v>102</v>
      </c>
      <c r="D27" s="4" t="s">
        <v>101</v>
      </c>
      <c r="E27" s="4">
        <v>99</v>
      </c>
      <c r="F27" s="4">
        <v>100</v>
      </c>
      <c r="G27" s="4">
        <v>101</v>
      </c>
    </row>
    <row r="28" spans="1:7" ht="22" x14ac:dyDescent="0.35">
      <c r="A28" s="3">
        <v>23</v>
      </c>
      <c r="B28" s="3" t="s">
        <v>86</v>
      </c>
      <c r="C28" s="12" t="s">
        <v>118</v>
      </c>
      <c r="D28" s="4" t="s">
        <v>101</v>
      </c>
      <c r="E28" s="4">
        <v>99</v>
      </c>
      <c r="F28" s="4">
        <v>100</v>
      </c>
      <c r="G28" s="4">
        <v>101</v>
      </c>
    </row>
  </sheetData>
  <mergeCells count="2">
    <mergeCell ref="A1:B1"/>
    <mergeCell ref="D1:G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0"/>
  <sheetViews>
    <sheetView tabSelected="1"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119</v>
      </c>
      <c r="C1" s="8">
        <v>42694.708333333299</v>
      </c>
      <c r="E1" s="1" t="s">
        <v>120</v>
      </c>
      <c r="F1" s="4" t="s">
        <v>134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121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122</v>
      </c>
      <c r="M4" s="1" t="s">
        <v>123</v>
      </c>
      <c r="N4" s="1" t="s">
        <v>124</v>
      </c>
      <c r="O4" s="1" t="s">
        <v>125</v>
      </c>
      <c r="P4" s="1" t="s">
        <v>126</v>
      </c>
      <c r="Q4" s="1" t="s">
        <v>127</v>
      </c>
      <c r="R4" s="1" t="s">
        <v>128</v>
      </c>
      <c r="S4" s="1" t="s">
        <v>129</v>
      </c>
      <c r="T4" s="1" t="s">
        <v>130</v>
      </c>
      <c r="U4" s="1" t="s">
        <v>131</v>
      </c>
      <c r="V4" s="1" t="s">
        <v>121</v>
      </c>
      <c r="W4" s="1" t="s">
        <v>132</v>
      </c>
      <c r="X4" s="1" t="s">
        <v>133</v>
      </c>
    </row>
    <row r="5" spans="1:24" ht="22" x14ac:dyDescent="0.35">
      <c r="A5" s="2">
        <v>0</v>
      </c>
      <c r="B5" s="3" t="s">
        <v>18</v>
      </c>
      <c r="C5" s="5">
        <v>42674.333333333299</v>
      </c>
      <c r="D5" s="5">
        <v>43343.708333333299</v>
      </c>
      <c r="E5" s="2" t="s">
        <v>20</v>
      </c>
      <c r="F5" s="2"/>
      <c r="G5" s="6"/>
      <c r="H5" s="6">
        <v>0</v>
      </c>
      <c r="I5" s="6"/>
      <c r="J5" s="6"/>
      <c r="K5" s="6">
        <v>1512000</v>
      </c>
      <c r="L5" s="2"/>
      <c r="M5" s="2" t="s">
        <v>135</v>
      </c>
      <c r="N5" s="6"/>
      <c r="O5" s="6"/>
      <c r="P5" s="2"/>
      <c r="Q5" s="6"/>
      <c r="R5" s="6"/>
      <c r="S5" s="6">
        <v>7116.9172932330803</v>
      </c>
      <c r="T5" s="6"/>
      <c r="U5" s="13">
        <v>4.2939690496081404E-3</v>
      </c>
      <c r="V5" s="2"/>
      <c r="W5" s="6">
        <v>6492.48120300751</v>
      </c>
      <c r="X5" s="6">
        <v>8092.7835051546399</v>
      </c>
    </row>
    <row r="6" spans="1:24" x14ac:dyDescent="0.35">
      <c r="A6" s="3">
        <v>1</v>
      </c>
      <c r="B6" s="3" t="s">
        <v>21</v>
      </c>
      <c r="C6" s="9">
        <v>42674.333333333299</v>
      </c>
      <c r="D6" s="9">
        <v>43080.708333333299</v>
      </c>
      <c r="E6" s="12" t="s">
        <v>23</v>
      </c>
      <c r="F6" s="12"/>
      <c r="G6" s="10">
        <v>0</v>
      </c>
      <c r="H6" s="10">
        <v>0</v>
      </c>
      <c r="I6" s="10">
        <v>67.439862542955296</v>
      </c>
      <c r="J6" s="10">
        <v>157000</v>
      </c>
      <c r="K6" s="10">
        <v>157000</v>
      </c>
      <c r="L6" s="8">
        <v>42674</v>
      </c>
      <c r="M6" s="3" t="s">
        <v>135</v>
      </c>
      <c r="N6" s="10">
        <v>8092.7835051546399</v>
      </c>
      <c r="O6" s="10">
        <v>187617.69759450201</v>
      </c>
      <c r="P6" s="12" t="s">
        <v>136</v>
      </c>
      <c r="Q6" s="10">
        <v>-975.86621192156099</v>
      </c>
      <c r="R6" s="14">
        <v>0</v>
      </c>
      <c r="S6" s="11">
        <v>7116.9172932330803</v>
      </c>
      <c r="T6" s="10">
        <v>187617.69759450201</v>
      </c>
      <c r="U6" s="15">
        <v>4.13533834586466E-2</v>
      </c>
      <c r="V6" s="12" t="s">
        <v>137</v>
      </c>
      <c r="W6" s="10">
        <v>6492.48120300751</v>
      </c>
      <c r="X6" s="10">
        <v>8092.7835051546399</v>
      </c>
    </row>
    <row r="7" spans="1:24" x14ac:dyDescent="0.35">
      <c r="A7" s="4">
        <v>26</v>
      </c>
      <c r="B7" s="4" t="s">
        <v>24</v>
      </c>
      <c r="C7" s="5">
        <v>42793.333333333299</v>
      </c>
      <c r="D7" s="5">
        <v>42821.708333333299</v>
      </c>
      <c r="E7" s="2" t="s">
        <v>26</v>
      </c>
      <c r="F7" s="2"/>
      <c r="G7" s="6"/>
      <c r="H7" s="6">
        <v>0</v>
      </c>
      <c r="I7" s="6"/>
      <c r="J7" s="6"/>
      <c r="K7" s="6">
        <v>71000</v>
      </c>
      <c r="L7" s="2"/>
      <c r="M7" s="2" t="s">
        <v>138</v>
      </c>
      <c r="N7" s="6"/>
      <c r="O7" s="6"/>
      <c r="P7" s="2"/>
      <c r="Q7" s="6"/>
      <c r="R7" s="6"/>
      <c r="S7" s="6">
        <v>0</v>
      </c>
      <c r="T7" s="6"/>
      <c r="U7" s="13">
        <v>0</v>
      </c>
      <c r="V7" s="2"/>
      <c r="W7" s="6">
        <v>0</v>
      </c>
      <c r="X7" s="6">
        <v>0</v>
      </c>
    </row>
    <row r="8" spans="1:24" ht="22" x14ac:dyDescent="0.35">
      <c r="A8" s="3">
        <v>2</v>
      </c>
      <c r="B8" s="3" t="s">
        <v>27</v>
      </c>
      <c r="C8" s="9">
        <v>42793.333333333299</v>
      </c>
      <c r="D8" s="9">
        <v>42793.708333333299</v>
      </c>
      <c r="E8" s="12" t="s">
        <v>29</v>
      </c>
      <c r="F8" s="12"/>
      <c r="G8" s="10">
        <v>0</v>
      </c>
      <c r="H8" s="10">
        <v>0</v>
      </c>
      <c r="I8" s="10">
        <v>1875</v>
      </c>
      <c r="J8" s="10">
        <v>15000</v>
      </c>
      <c r="K8" s="10">
        <v>15000</v>
      </c>
      <c r="L8" s="3"/>
      <c r="M8" s="3" t="s">
        <v>138</v>
      </c>
      <c r="N8" s="10">
        <v>0</v>
      </c>
      <c r="O8" s="10">
        <v>15000</v>
      </c>
      <c r="P8" s="12" t="s">
        <v>29</v>
      </c>
      <c r="Q8" s="10">
        <v>0</v>
      </c>
      <c r="R8" s="14">
        <v>0</v>
      </c>
      <c r="S8" s="11">
        <v>0</v>
      </c>
      <c r="T8" s="10">
        <v>15000</v>
      </c>
      <c r="U8" s="15">
        <v>0</v>
      </c>
      <c r="V8" s="12" t="s">
        <v>139</v>
      </c>
      <c r="W8" s="10">
        <v>0</v>
      </c>
      <c r="X8" s="10">
        <v>0</v>
      </c>
    </row>
    <row r="9" spans="1:24" ht="32.5" x14ac:dyDescent="0.35">
      <c r="A9" s="3">
        <v>3</v>
      </c>
      <c r="B9" s="3" t="s">
        <v>30</v>
      </c>
      <c r="C9" s="9">
        <v>42793.333333333299</v>
      </c>
      <c r="D9" s="9">
        <v>42821.708333333299</v>
      </c>
      <c r="E9" s="12" t="s">
        <v>26</v>
      </c>
      <c r="F9" s="12"/>
      <c r="G9" s="10">
        <v>0</v>
      </c>
      <c r="H9" s="10">
        <v>0</v>
      </c>
      <c r="I9" s="10">
        <v>333.33333333333297</v>
      </c>
      <c r="J9" s="10">
        <v>56000</v>
      </c>
      <c r="K9" s="10">
        <v>56000</v>
      </c>
      <c r="L9" s="3"/>
      <c r="M9" s="3" t="s">
        <v>138</v>
      </c>
      <c r="N9" s="10">
        <v>0</v>
      </c>
      <c r="O9" s="10">
        <v>56000</v>
      </c>
      <c r="P9" s="12" t="s">
        <v>26</v>
      </c>
      <c r="Q9" s="10">
        <v>0</v>
      </c>
      <c r="R9" s="14">
        <v>0</v>
      </c>
      <c r="S9" s="11">
        <v>0</v>
      </c>
      <c r="T9" s="10">
        <v>56000</v>
      </c>
      <c r="U9" s="15">
        <v>0</v>
      </c>
      <c r="V9" s="12" t="s">
        <v>139</v>
      </c>
      <c r="W9" s="10">
        <v>0</v>
      </c>
      <c r="X9" s="10">
        <v>0</v>
      </c>
    </row>
    <row r="10" spans="1:24" x14ac:dyDescent="0.35">
      <c r="A10" s="4">
        <v>27</v>
      </c>
      <c r="B10" s="4" t="s">
        <v>32</v>
      </c>
      <c r="C10" s="5">
        <v>42922.333333333299</v>
      </c>
      <c r="D10" s="5">
        <v>42950.708333333299</v>
      </c>
      <c r="E10" s="2" t="s">
        <v>26</v>
      </c>
      <c r="F10" s="2"/>
      <c r="G10" s="6"/>
      <c r="H10" s="6">
        <v>0</v>
      </c>
      <c r="I10" s="6"/>
      <c r="J10" s="6"/>
      <c r="K10" s="6">
        <v>60000</v>
      </c>
      <c r="L10" s="2"/>
      <c r="M10" s="2" t="s">
        <v>138</v>
      </c>
      <c r="N10" s="6"/>
      <c r="O10" s="6"/>
      <c r="P10" s="2"/>
      <c r="Q10" s="6"/>
      <c r="R10" s="6"/>
      <c r="S10" s="6">
        <v>0</v>
      </c>
      <c r="T10" s="6"/>
      <c r="U10" s="13">
        <v>0</v>
      </c>
      <c r="V10" s="2"/>
      <c r="W10" s="6">
        <v>0</v>
      </c>
      <c r="X10" s="6">
        <v>0</v>
      </c>
    </row>
    <row r="11" spans="1:24" ht="22" x14ac:dyDescent="0.35">
      <c r="A11" s="3">
        <v>4</v>
      </c>
      <c r="B11" s="3" t="s">
        <v>34</v>
      </c>
      <c r="C11" s="9">
        <v>42922.333333333299</v>
      </c>
      <c r="D11" s="9">
        <v>42922.708333333299</v>
      </c>
      <c r="E11" s="12" t="s">
        <v>29</v>
      </c>
      <c r="F11" s="12"/>
      <c r="G11" s="10">
        <v>0</v>
      </c>
      <c r="H11" s="10">
        <v>0</v>
      </c>
      <c r="I11" s="10">
        <v>1875</v>
      </c>
      <c r="J11" s="10">
        <v>15000</v>
      </c>
      <c r="K11" s="10">
        <v>15000</v>
      </c>
      <c r="L11" s="3"/>
      <c r="M11" s="3" t="s">
        <v>138</v>
      </c>
      <c r="N11" s="10">
        <v>0</v>
      </c>
      <c r="O11" s="10">
        <v>15000</v>
      </c>
      <c r="P11" s="12" t="s">
        <v>29</v>
      </c>
      <c r="Q11" s="10">
        <v>0</v>
      </c>
      <c r="R11" s="14">
        <v>0</v>
      </c>
      <c r="S11" s="11">
        <v>0</v>
      </c>
      <c r="T11" s="10">
        <v>15000</v>
      </c>
      <c r="U11" s="15">
        <v>0</v>
      </c>
      <c r="V11" s="12" t="s">
        <v>139</v>
      </c>
      <c r="W11" s="10">
        <v>0</v>
      </c>
      <c r="X11" s="10">
        <v>0</v>
      </c>
    </row>
    <row r="12" spans="1:24" ht="32.5" x14ac:dyDescent="0.35">
      <c r="A12" s="3">
        <v>5</v>
      </c>
      <c r="B12" s="3" t="s">
        <v>36</v>
      </c>
      <c r="C12" s="9">
        <v>42922.333333333299</v>
      </c>
      <c r="D12" s="9">
        <v>42950.708333333299</v>
      </c>
      <c r="E12" s="12" t="s">
        <v>26</v>
      </c>
      <c r="F12" s="12"/>
      <c r="G12" s="10">
        <v>0</v>
      </c>
      <c r="H12" s="10">
        <v>0</v>
      </c>
      <c r="I12" s="10">
        <v>267.857142857143</v>
      </c>
      <c r="J12" s="10">
        <v>45000</v>
      </c>
      <c r="K12" s="10">
        <v>45000</v>
      </c>
      <c r="L12" s="3"/>
      <c r="M12" s="3" t="s">
        <v>138</v>
      </c>
      <c r="N12" s="10">
        <v>0</v>
      </c>
      <c r="O12" s="10">
        <v>45000</v>
      </c>
      <c r="P12" s="12" t="s">
        <v>26</v>
      </c>
      <c r="Q12" s="10">
        <v>0</v>
      </c>
      <c r="R12" s="14">
        <v>0</v>
      </c>
      <c r="S12" s="11">
        <v>0</v>
      </c>
      <c r="T12" s="10">
        <v>45000</v>
      </c>
      <c r="U12" s="15">
        <v>0</v>
      </c>
      <c r="V12" s="12" t="s">
        <v>139</v>
      </c>
      <c r="W12" s="10">
        <v>0</v>
      </c>
      <c r="X12" s="10">
        <v>0</v>
      </c>
    </row>
    <row r="13" spans="1:24" ht="22" x14ac:dyDescent="0.35">
      <c r="A13" s="3">
        <v>6</v>
      </c>
      <c r="B13" s="3" t="s">
        <v>38</v>
      </c>
      <c r="C13" s="9">
        <v>42821.333333333299</v>
      </c>
      <c r="D13" s="9">
        <v>43031.708333333299</v>
      </c>
      <c r="E13" s="12" t="s">
        <v>40</v>
      </c>
      <c r="F13" s="12"/>
      <c r="G13" s="10">
        <v>0</v>
      </c>
      <c r="H13" s="10">
        <v>0</v>
      </c>
      <c r="I13" s="10">
        <v>48.013245033112597</v>
      </c>
      <c r="J13" s="10">
        <v>58000</v>
      </c>
      <c r="K13" s="10">
        <v>58000</v>
      </c>
      <c r="L13" s="3"/>
      <c r="M13" s="3" t="s">
        <v>138</v>
      </c>
      <c r="N13" s="10">
        <v>0</v>
      </c>
      <c r="O13" s="10">
        <v>58000</v>
      </c>
      <c r="P13" s="12" t="s">
        <v>40</v>
      </c>
      <c r="Q13" s="10">
        <v>0</v>
      </c>
      <c r="R13" s="14">
        <v>0</v>
      </c>
      <c r="S13" s="11">
        <v>0</v>
      </c>
      <c r="T13" s="10">
        <v>58000</v>
      </c>
      <c r="U13" s="15">
        <v>0</v>
      </c>
      <c r="V13" s="12" t="s">
        <v>139</v>
      </c>
      <c r="W13" s="10">
        <v>0</v>
      </c>
      <c r="X13" s="10">
        <v>0</v>
      </c>
    </row>
    <row r="14" spans="1:24" ht="22" x14ac:dyDescent="0.35">
      <c r="A14" s="3">
        <v>7</v>
      </c>
      <c r="B14" s="3" t="s">
        <v>41</v>
      </c>
      <c r="C14" s="9">
        <v>42821.333333333299</v>
      </c>
      <c r="D14" s="9">
        <v>43038.708333333299</v>
      </c>
      <c r="E14" s="12" t="s">
        <v>43</v>
      </c>
      <c r="F14" s="12"/>
      <c r="G14" s="10">
        <v>0</v>
      </c>
      <c r="H14" s="10">
        <v>0</v>
      </c>
      <c r="I14" s="10">
        <v>17.628205128205099</v>
      </c>
      <c r="J14" s="10">
        <v>22000</v>
      </c>
      <c r="K14" s="10">
        <v>22000</v>
      </c>
      <c r="L14" s="3"/>
      <c r="M14" s="3" t="s">
        <v>138</v>
      </c>
      <c r="N14" s="10">
        <v>0</v>
      </c>
      <c r="O14" s="10">
        <v>22000</v>
      </c>
      <c r="P14" s="12" t="s">
        <v>43</v>
      </c>
      <c r="Q14" s="10">
        <v>0</v>
      </c>
      <c r="R14" s="14">
        <v>0</v>
      </c>
      <c r="S14" s="11">
        <v>0</v>
      </c>
      <c r="T14" s="10">
        <v>22000</v>
      </c>
      <c r="U14" s="15">
        <v>0</v>
      </c>
      <c r="V14" s="12" t="s">
        <v>139</v>
      </c>
      <c r="W14" s="10">
        <v>0</v>
      </c>
      <c r="X14" s="10">
        <v>0</v>
      </c>
    </row>
    <row r="15" spans="1:24" ht="22" x14ac:dyDescent="0.35">
      <c r="A15" s="3">
        <v>8</v>
      </c>
      <c r="B15" s="3" t="s">
        <v>44</v>
      </c>
      <c r="C15" s="9">
        <v>42950.333333333299</v>
      </c>
      <c r="D15" s="9">
        <v>43112.708333333299</v>
      </c>
      <c r="E15" s="12" t="s">
        <v>46</v>
      </c>
      <c r="F15" s="12"/>
      <c r="G15" s="10">
        <v>0</v>
      </c>
      <c r="H15" s="10">
        <v>0</v>
      </c>
      <c r="I15" s="10">
        <v>58.760683760683797</v>
      </c>
      <c r="J15" s="10">
        <v>55000</v>
      </c>
      <c r="K15" s="10">
        <v>55000</v>
      </c>
      <c r="L15" s="3"/>
      <c r="M15" s="3" t="s">
        <v>138</v>
      </c>
      <c r="N15" s="10">
        <v>0</v>
      </c>
      <c r="O15" s="10">
        <v>55000</v>
      </c>
      <c r="P15" s="12" t="s">
        <v>46</v>
      </c>
      <c r="Q15" s="10">
        <v>0</v>
      </c>
      <c r="R15" s="14">
        <v>0</v>
      </c>
      <c r="S15" s="11">
        <v>0</v>
      </c>
      <c r="T15" s="10">
        <v>55000</v>
      </c>
      <c r="U15" s="15">
        <v>0</v>
      </c>
      <c r="V15" s="12" t="s">
        <v>139</v>
      </c>
      <c r="W15" s="10">
        <v>0</v>
      </c>
      <c r="X15" s="10">
        <v>0</v>
      </c>
    </row>
    <row r="16" spans="1:24" ht="22" x14ac:dyDescent="0.35">
      <c r="A16" s="3">
        <v>9</v>
      </c>
      <c r="B16" s="3" t="s">
        <v>47</v>
      </c>
      <c r="C16" s="9">
        <v>42950.333333333299</v>
      </c>
      <c r="D16" s="9">
        <v>43119.708333333299</v>
      </c>
      <c r="E16" s="12" t="s">
        <v>49</v>
      </c>
      <c r="F16" s="12"/>
      <c r="G16" s="10">
        <v>0</v>
      </c>
      <c r="H16" s="10">
        <v>0</v>
      </c>
      <c r="I16" s="10">
        <v>20.491803278688501</v>
      </c>
      <c r="J16" s="10">
        <v>20000</v>
      </c>
      <c r="K16" s="10">
        <v>20000</v>
      </c>
      <c r="L16" s="3"/>
      <c r="M16" s="3" t="s">
        <v>138</v>
      </c>
      <c r="N16" s="10">
        <v>0</v>
      </c>
      <c r="O16" s="10">
        <v>20000</v>
      </c>
      <c r="P16" s="12" t="s">
        <v>49</v>
      </c>
      <c r="Q16" s="10">
        <v>0</v>
      </c>
      <c r="R16" s="14">
        <v>0</v>
      </c>
      <c r="S16" s="11">
        <v>0</v>
      </c>
      <c r="T16" s="10">
        <v>20000</v>
      </c>
      <c r="U16" s="15">
        <v>0</v>
      </c>
      <c r="V16" s="12" t="s">
        <v>139</v>
      </c>
      <c r="W16" s="10">
        <v>0</v>
      </c>
      <c r="X16" s="10">
        <v>0</v>
      </c>
    </row>
    <row r="17" spans="1:24" ht="22" x14ac:dyDescent="0.35">
      <c r="A17" s="3">
        <v>10</v>
      </c>
      <c r="B17" s="3" t="s">
        <v>50</v>
      </c>
      <c r="C17" s="9">
        <v>42944.333333333299</v>
      </c>
      <c r="D17" s="9">
        <v>43332.708333333299</v>
      </c>
      <c r="E17" s="12" t="s">
        <v>52</v>
      </c>
      <c r="F17" s="12"/>
      <c r="G17" s="10">
        <v>0</v>
      </c>
      <c r="H17" s="10">
        <v>0</v>
      </c>
      <c r="I17" s="10">
        <v>101.534296028881</v>
      </c>
      <c r="J17" s="10">
        <v>225000</v>
      </c>
      <c r="K17" s="10">
        <v>225000</v>
      </c>
      <c r="L17" s="3"/>
      <c r="M17" s="3" t="s">
        <v>138</v>
      </c>
      <c r="N17" s="10">
        <v>0</v>
      </c>
      <c r="O17" s="10">
        <v>225000</v>
      </c>
      <c r="P17" s="12" t="s">
        <v>52</v>
      </c>
      <c r="Q17" s="10">
        <v>0</v>
      </c>
      <c r="R17" s="14">
        <v>0</v>
      </c>
      <c r="S17" s="11">
        <v>0</v>
      </c>
      <c r="T17" s="10">
        <v>225000</v>
      </c>
      <c r="U17" s="15">
        <v>0</v>
      </c>
      <c r="V17" s="12" t="s">
        <v>139</v>
      </c>
      <c r="W17" s="10">
        <v>0</v>
      </c>
      <c r="X17" s="10">
        <v>0</v>
      </c>
    </row>
    <row r="18" spans="1:24" ht="22" x14ac:dyDescent="0.35">
      <c r="A18" s="3">
        <v>11</v>
      </c>
      <c r="B18" s="3" t="s">
        <v>53</v>
      </c>
      <c r="C18" s="9">
        <v>43031.333333333299</v>
      </c>
      <c r="D18" s="9">
        <v>43168.708333333299</v>
      </c>
      <c r="E18" s="12" t="s">
        <v>55</v>
      </c>
      <c r="F18" s="12"/>
      <c r="G18" s="10">
        <v>0</v>
      </c>
      <c r="H18" s="10">
        <v>0</v>
      </c>
      <c r="I18" s="10">
        <v>10</v>
      </c>
      <c r="J18" s="10">
        <v>8000</v>
      </c>
      <c r="K18" s="10">
        <v>8000</v>
      </c>
      <c r="L18" s="3"/>
      <c r="M18" s="3" t="s">
        <v>138</v>
      </c>
      <c r="N18" s="10">
        <v>0</v>
      </c>
      <c r="O18" s="10">
        <v>8000</v>
      </c>
      <c r="P18" s="12" t="s">
        <v>55</v>
      </c>
      <c r="Q18" s="10">
        <v>0</v>
      </c>
      <c r="R18" s="14">
        <v>0</v>
      </c>
      <c r="S18" s="11">
        <v>0</v>
      </c>
      <c r="T18" s="10">
        <v>8000</v>
      </c>
      <c r="U18" s="15">
        <v>0</v>
      </c>
      <c r="V18" s="12" t="s">
        <v>139</v>
      </c>
      <c r="W18" s="10">
        <v>0</v>
      </c>
      <c r="X18" s="10">
        <v>0</v>
      </c>
    </row>
    <row r="19" spans="1:24" ht="32.5" x14ac:dyDescent="0.35">
      <c r="A19" s="3">
        <v>12</v>
      </c>
      <c r="B19" s="3" t="s">
        <v>56</v>
      </c>
      <c r="C19" s="9">
        <v>43031.333333333299</v>
      </c>
      <c r="D19" s="9">
        <v>43168.708333333299</v>
      </c>
      <c r="E19" s="12" t="s">
        <v>55</v>
      </c>
      <c r="F19" s="12"/>
      <c r="G19" s="10">
        <v>0</v>
      </c>
      <c r="H19" s="10">
        <v>0</v>
      </c>
      <c r="I19" s="10">
        <v>43.75</v>
      </c>
      <c r="J19" s="10">
        <v>35000</v>
      </c>
      <c r="K19" s="10">
        <v>35000</v>
      </c>
      <c r="L19" s="3"/>
      <c r="M19" s="3" t="s">
        <v>138</v>
      </c>
      <c r="N19" s="10">
        <v>0</v>
      </c>
      <c r="O19" s="10">
        <v>35000</v>
      </c>
      <c r="P19" s="12" t="s">
        <v>55</v>
      </c>
      <c r="Q19" s="10">
        <v>0</v>
      </c>
      <c r="R19" s="14">
        <v>0</v>
      </c>
      <c r="S19" s="11">
        <v>0</v>
      </c>
      <c r="T19" s="10">
        <v>35000</v>
      </c>
      <c r="U19" s="15">
        <v>0</v>
      </c>
      <c r="V19" s="12" t="s">
        <v>139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58</v>
      </c>
      <c r="C20" s="9">
        <v>42968.333333333299</v>
      </c>
      <c r="D20" s="9">
        <v>43182.708333333299</v>
      </c>
      <c r="E20" s="12" t="s">
        <v>60</v>
      </c>
      <c r="F20" s="12"/>
      <c r="G20" s="10">
        <v>0</v>
      </c>
      <c r="H20" s="10">
        <v>0</v>
      </c>
      <c r="I20" s="10">
        <v>278.22580645161298</v>
      </c>
      <c r="J20" s="10">
        <v>345000</v>
      </c>
      <c r="K20" s="10">
        <v>345000</v>
      </c>
      <c r="L20" s="3"/>
      <c r="M20" s="3" t="s">
        <v>138</v>
      </c>
      <c r="N20" s="10">
        <v>0</v>
      </c>
      <c r="O20" s="10">
        <v>345000</v>
      </c>
      <c r="P20" s="12" t="s">
        <v>60</v>
      </c>
      <c r="Q20" s="10">
        <v>0</v>
      </c>
      <c r="R20" s="14">
        <v>0</v>
      </c>
      <c r="S20" s="11">
        <v>0</v>
      </c>
      <c r="T20" s="10">
        <v>345000</v>
      </c>
      <c r="U20" s="15">
        <v>0</v>
      </c>
      <c r="V20" s="12" t="s">
        <v>139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61</v>
      </c>
      <c r="C21" s="9">
        <v>42968.333333333299</v>
      </c>
      <c r="D21" s="9">
        <v>43179.708333333299</v>
      </c>
      <c r="E21" s="12" t="s">
        <v>63</v>
      </c>
      <c r="F21" s="12"/>
      <c r="G21" s="10">
        <v>0</v>
      </c>
      <c r="H21" s="10">
        <v>0</v>
      </c>
      <c r="I21" s="10">
        <v>37.006578947368403</v>
      </c>
      <c r="J21" s="10">
        <v>45000</v>
      </c>
      <c r="K21" s="10">
        <v>45000</v>
      </c>
      <c r="L21" s="3"/>
      <c r="M21" s="3" t="s">
        <v>138</v>
      </c>
      <c r="N21" s="10">
        <v>0</v>
      </c>
      <c r="O21" s="10">
        <v>45000</v>
      </c>
      <c r="P21" s="12" t="s">
        <v>63</v>
      </c>
      <c r="Q21" s="10">
        <v>0</v>
      </c>
      <c r="R21" s="14">
        <v>0</v>
      </c>
      <c r="S21" s="11">
        <v>0</v>
      </c>
      <c r="T21" s="10">
        <v>45000</v>
      </c>
      <c r="U21" s="15">
        <v>0</v>
      </c>
      <c r="V21" s="12" t="s">
        <v>139</v>
      </c>
      <c r="W21" s="10">
        <v>0</v>
      </c>
      <c r="X21" s="10">
        <v>0</v>
      </c>
    </row>
    <row r="22" spans="1:24" ht="22" x14ac:dyDescent="0.35">
      <c r="A22" s="3">
        <v>15</v>
      </c>
      <c r="B22" s="3" t="s">
        <v>64</v>
      </c>
      <c r="C22" s="9">
        <v>43003.333333333299</v>
      </c>
      <c r="D22" s="9">
        <v>43179.708333333299</v>
      </c>
      <c r="E22" s="12" t="s">
        <v>66</v>
      </c>
      <c r="F22" s="12"/>
      <c r="G22" s="10">
        <v>0</v>
      </c>
      <c r="H22" s="10">
        <v>0</v>
      </c>
      <c r="I22" s="10">
        <v>8.8582677165354298</v>
      </c>
      <c r="J22" s="10">
        <v>9000</v>
      </c>
      <c r="K22" s="10">
        <v>9000</v>
      </c>
      <c r="L22" s="3"/>
      <c r="M22" s="3" t="s">
        <v>138</v>
      </c>
      <c r="N22" s="10">
        <v>0</v>
      </c>
      <c r="O22" s="10">
        <v>9000</v>
      </c>
      <c r="P22" s="12" t="s">
        <v>66</v>
      </c>
      <c r="Q22" s="10">
        <v>0</v>
      </c>
      <c r="R22" s="14">
        <v>0</v>
      </c>
      <c r="S22" s="11">
        <v>0</v>
      </c>
      <c r="T22" s="10">
        <v>9000</v>
      </c>
      <c r="U22" s="15">
        <v>0</v>
      </c>
      <c r="V22" s="12" t="s">
        <v>139</v>
      </c>
      <c r="W22" s="10">
        <v>0</v>
      </c>
      <c r="X22" s="10">
        <v>0</v>
      </c>
    </row>
    <row r="23" spans="1:24" x14ac:dyDescent="0.35">
      <c r="A23" s="3">
        <v>16</v>
      </c>
      <c r="B23" s="3" t="s">
        <v>67</v>
      </c>
      <c r="C23" s="9">
        <v>43003.333333333299</v>
      </c>
      <c r="D23" s="9">
        <v>43297.708333333299</v>
      </c>
      <c r="E23" s="12" t="s">
        <v>69</v>
      </c>
      <c r="F23" s="12"/>
      <c r="G23" s="10">
        <v>0</v>
      </c>
      <c r="H23" s="10">
        <v>0</v>
      </c>
      <c r="I23" s="10">
        <v>52.725118483412302</v>
      </c>
      <c r="J23" s="10">
        <v>89000</v>
      </c>
      <c r="K23" s="10">
        <v>89000</v>
      </c>
      <c r="L23" s="3"/>
      <c r="M23" s="3" t="s">
        <v>138</v>
      </c>
      <c r="N23" s="10">
        <v>0</v>
      </c>
      <c r="O23" s="10">
        <v>89000</v>
      </c>
      <c r="P23" s="12" t="s">
        <v>69</v>
      </c>
      <c r="Q23" s="10">
        <v>0</v>
      </c>
      <c r="R23" s="14">
        <v>0</v>
      </c>
      <c r="S23" s="11">
        <v>0</v>
      </c>
      <c r="T23" s="10">
        <v>89000</v>
      </c>
      <c r="U23" s="15">
        <v>0</v>
      </c>
      <c r="V23" s="12" t="s">
        <v>139</v>
      </c>
      <c r="W23" s="10">
        <v>0</v>
      </c>
      <c r="X23" s="10">
        <v>0</v>
      </c>
    </row>
    <row r="24" spans="1:24" ht="22" x14ac:dyDescent="0.35">
      <c r="A24" s="3">
        <v>17</v>
      </c>
      <c r="B24" s="3" t="s">
        <v>70</v>
      </c>
      <c r="C24" s="9">
        <v>43003.333333333299</v>
      </c>
      <c r="D24" s="9">
        <v>43147.708333333299</v>
      </c>
      <c r="E24" s="12" t="s">
        <v>72</v>
      </c>
      <c r="F24" s="12"/>
      <c r="G24" s="10">
        <v>0</v>
      </c>
      <c r="H24" s="10">
        <v>0</v>
      </c>
      <c r="I24" s="10">
        <v>59.523809523809497</v>
      </c>
      <c r="J24" s="10">
        <v>50000</v>
      </c>
      <c r="K24" s="10">
        <v>50000</v>
      </c>
      <c r="L24" s="3"/>
      <c r="M24" s="3" t="s">
        <v>138</v>
      </c>
      <c r="N24" s="10">
        <v>0</v>
      </c>
      <c r="O24" s="10">
        <v>50000</v>
      </c>
      <c r="P24" s="12" t="s">
        <v>72</v>
      </c>
      <c r="Q24" s="10">
        <v>0</v>
      </c>
      <c r="R24" s="14">
        <v>0</v>
      </c>
      <c r="S24" s="11">
        <v>0</v>
      </c>
      <c r="T24" s="10">
        <v>50000</v>
      </c>
      <c r="U24" s="15">
        <v>0</v>
      </c>
      <c r="V24" s="12" t="s">
        <v>139</v>
      </c>
      <c r="W24" s="10">
        <v>0</v>
      </c>
      <c r="X24" s="10">
        <v>0</v>
      </c>
    </row>
    <row r="25" spans="1:24" ht="22" x14ac:dyDescent="0.35">
      <c r="A25" s="3">
        <v>18</v>
      </c>
      <c r="B25" s="3" t="s">
        <v>73</v>
      </c>
      <c r="C25" s="9">
        <v>43003.333333333299</v>
      </c>
      <c r="D25" s="9">
        <v>43147.708333333299</v>
      </c>
      <c r="E25" s="12" t="s">
        <v>72</v>
      </c>
      <c r="F25" s="12"/>
      <c r="G25" s="10">
        <v>0</v>
      </c>
      <c r="H25" s="10">
        <v>0</v>
      </c>
      <c r="I25" s="10">
        <v>35.714285714285701</v>
      </c>
      <c r="J25" s="10">
        <v>30000</v>
      </c>
      <c r="K25" s="10">
        <v>30000</v>
      </c>
      <c r="L25" s="3"/>
      <c r="M25" s="3" t="s">
        <v>138</v>
      </c>
      <c r="N25" s="10">
        <v>0</v>
      </c>
      <c r="O25" s="10">
        <v>30000</v>
      </c>
      <c r="P25" s="12" t="s">
        <v>72</v>
      </c>
      <c r="Q25" s="10">
        <v>0</v>
      </c>
      <c r="R25" s="14">
        <v>0</v>
      </c>
      <c r="S25" s="11">
        <v>0</v>
      </c>
      <c r="T25" s="10">
        <v>30000</v>
      </c>
      <c r="U25" s="15">
        <v>0</v>
      </c>
      <c r="V25" s="12" t="s">
        <v>139</v>
      </c>
      <c r="W25" s="10">
        <v>0</v>
      </c>
      <c r="X25" s="10">
        <v>0</v>
      </c>
    </row>
    <row r="26" spans="1:24" ht="22" x14ac:dyDescent="0.35">
      <c r="A26" s="3">
        <v>19</v>
      </c>
      <c r="B26" s="3" t="s">
        <v>75</v>
      </c>
      <c r="C26" s="9">
        <v>43059.333333333299</v>
      </c>
      <c r="D26" s="9">
        <v>43238.708333333299</v>
      </c>
      <c r="E26" s="12" t="s">
        <v>77</v>
      </c>
      <c r="F26" s="12"/>
      <c r="G26" s="10">
        <v>0</v>
      </c>
      <c r="H26" s="10">
        <v>0</v>
      </c>
      <c r="I26" s="10">
        <v>38.461538461538503</v>
      </c>
      <c r="J26" s="10">
        <v>40000</v>
      </c>
      <c r="K26" s="10">
        <v>40000</v>
      </c>
      <c r="L26" s="3"/>
      <c r="M26" s="3" t="s">
        <v>138</v>
      </c>
      <c r="N26" s="10">
        <v>0</v>
      </c>
      <c r="O26" s="10">
        <v>40000</v>
      </c>
      <c r="P26" s="12" t="s">
        <v>77</v>
      </c>
      <c r="Q26" s="10">
        <v>0</v>
      </c>
      <c r="R26" s="14">
        <v>0</v>
      </c>
      <c r="S26" s="11">
        <v>0</v>
      </c>
      <c r="T26" s="10">
        <v>40000</v>
      </c>
      <c r="U26" s="15">
        <v>0</v>
      </c>
      <c r="V26" s="12" t="s">
        <v>139</v>
      </c>
      <c r="W26" s="10">
        <v>0</v>
      </c>
      <c r="X26" s="10">
        <v>0</v>
      </c>
    </row>
    <row r="27" spans="1:24" x14ac:dyDescent="0.35">
      <c r="A27" s="3">
        <v>20</v>
      </c>
      <c r="B27" s="3" t="s">
        <v>78</v>
      </c>
      <c r="C27" s="9">
        <v>43045.333333333299</v>
      </c>
      <c r="D27" s="9">
        <v>43070.708333333299</v>
      </c>
      <c r="E27" s="12" t="s">
        <v>80</v>
      </c>
      <c r="F27" s="12"/>
      <c r="G27" s="10">
        <v>0</v>
      </c>
      <c r="H27" s="10">
        <v>0</v>
      </c>
      <c r="I27" s="10">
        <v>156.25</v>
      </c>
      <c r="J27" s="10">
        <v>25000</v>
      </c>
      <c r="K27" s="10">
        <v>25000</v>
      </c>
      <c r="L27" s="3"/>
      <c r="M27" s="3" t="s">
        <v>138</v>
      </c>
      <c r="N27" s="10">
        <v>0</v>
      </c>
      <c r="O27" s="10">
        <v>25000</v>
      </c>
      <c r="P27" s="12" t="s">
        <v>80</v>
      </c>
      <c r="Q27" s="10">
        <v>0</v>
      </c>
      <c r="R27" s="14">
        <v>0</v>
      </c>
      <c r="S27" s="11">
        <v>0</v>
      </c>
      <c r="T27" s="10">
        <v>25000</v>
      </c>
      <c r="U27" s="15">
        <v>0</v>
      </c>
      <c r="V27" s="12" t="s">
        <v>139</v>
      </c>
      <c r="W27" s="10">
        <v>0</v>
      </c>
      <c r="X27" s="10">
        <v>0</v>
      </c>
    </row>
    <row r="28" spans="1:24" x14ac:dyDescent="0.35">
      <c r="A28" s="3">
        <v>21</v>
      </c>
      <c r="B28" s="3" t="s">
        <v>81</v>
      </c>
      <c r="C28" s="9">
        <v>43119.333333333299</v>
      </c>
      <c r="D28" s="9">
        <v>43207.708333333299</v>
      </c>
      <c r="E28" s="12" t="s">
        <v>83</v>
      </c>
      <c r="F28" s="12"/>
      <c r="G28" s="10">
        <v>0</v>
      </c>
      <c r="H28" s="10">
        <v>0</v>
      </c>
      <c r="I28" s="10">
        <v>49.603174603174601</v>
      </c>
      <c r="J28" s="10">
        <v>25000</v>
      </c>
      <c r="K28" s="10">
        <v>25000</v>
      </c>
      <c r="L28" s="3"/>
      <c r="M28" s="3" t="s">
        <v>138</v>
      </c>
      <c r="N28" s="10">
        <v>0</v>
      </c>
      <c r="O28" s="10">
        <v>25000</v>
      </c>
      <c r="P28" s="12" t="s">
        <v>83</v>
      </c>
      <c r="Q28" s="10">
        <v>0</v>
      </c>
      <c r="R28" s="14">
        <v>0</v>
      </c>
      <c r="S28" s="11">
        <v>0</v>
      </c>
      <c r="T28" s="10">
        <v>25000</v>
      </c>
      <c r="U28" s="15">
        <v>0</v>
      </c>
      <c r="V28" s="12" t="s">
        <v>139</v>
      </c>
      <c r="W28" s="10">
        <v>0</v>
      </c>
      <c r="X28" s="10">
        <v>0</v>
      </c>
    </row>
    <row r="29" spans="1:24" ht="22" x14ac:dyDescent="0.35">
      <c r="A29" s="3">
        <v>22</v>
      </c>
      <c r="B29" s="3" t="s">
        <v>84</v>
      </c>
      <c r="C29" s="9">
        <v>43070.333333333299</v>
      </c>
      <c r="D29" s="9">
        <v>43098.708333333299</v>
      </c>
      <c r="E29" s="12" t="s">
        <v>26</v>
      </c>
      <c r="F29" s="12"/>
      <c r="G29" s="10">
        <v>0</v>
      </c>
      <c r="H29" s="10">
        <v>0</v>
      </c>
      <c r="I29" s="10">
        <v>107.142857142857</v>
      </c>
      <c r="J29" s="10">
        <v>18000</v>
      </c>
      <c r="K29" s="10">
        <v>18000</v>
      </c>
      <c r="L29" s="3"/>
      <c r="M29" s="3" t="s">
        <v>138</v>
      </c>
      <c r="N29" s="10">
        <v>0</v>
      </c>
      <c r="O29" s="10">
        <v>18000</v>
      </c>
      <c r="P29" s="12" t="s">
        <v>26</v>
      </c>
      <c r="Q29" s="10">
        <v>0</v>
      </c>
      <c r="R29" s="14">
        <v>0</v>
      </c>
      <c r="S29" s="11">
        <v>0</v>
      </c>
      <c r="T29" s="10">
        <v>18000</v>
      </c>
      <c r="U29" s="15">
        <v>0</v>
      </c>
      <c r="V29" s="12" t="s">
        <v>139</v>
      </c>
      <c r="W29" s="10">
        <v>0</v>
      </c>
      <c r="X29" s="10">
        <v>0</v>
      </c>
    </row>
    <row r="30" spans="1:24" ht="22" x14ac:dyDescent="0.35">
      <c r="A30" s="3">
        <v>23</v>
      </c>
      <c r="B30" s="3" t="s">
        <v>86</v>
      </c>
      <c r="C30" s="9">
        <v>43332.333333333299</v>
      </c>
      <c r="D30" s="9">
        <v>43343.708333333299</v>
      </c>
      <c r="E30" s="12" t="s">
        <v>88</v>
      </c>
      <c r="F30" s="12"/>
      <c r="G30" s="10">
        <v>0</v>
      </c>
      <c r="H30" s="10">
        <v>0</v>
      </c>
      <c r="I30" s="10">
        <v>1562.5</v>
      </c>
      <c r="J30" s="10">
        <v>125000</v>
      </c>
      <c r="K30" s="10">
        <v>125000</v>
      </c>
      <c r="L30" s="3"/>
      <c r="M30" s="3" t="s">
        <v>138</v>
      </c>
      <c r="N30" s="10">
        <v>0</v>
      </c>
      <c r="O30" s="10">
        <v>125000</v>
      </c>
      <c r="P30" s="12" t="s">
        <v>88</v>
      </c>
      <c r="Q30" s="10">
        <v>0</v>
      </c>
      <c r="R30" s="14">
        <v>0</v>
      </c>
      <c r="S30" s="11">
        <v>0</v>
      </c>
      <c r="T30" s="10">
        <v>125000</v>
      </c>
      <c r="U30" s="15">
        <v>0</v>
      </c>
      <c r="V30" s="12" t="s">
        <v>139</v>
      </c>
      <c r="W30" s="10">
        <v>0</v>
      </c>
      <c r="X30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0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119</v>
      </c>
      <c r="C1" s="8">
        <v>42745.708333333299</v>
      </c>
      <c r="E1" s="1" t="s">
        <v>120</v>
      </c>
      <c r="F1" s="4" t="s">
        <v>140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121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122</v>
      </c>
      <c r="M4" s="1" t="s">
        <v>123</v>
      </c>
      <c r="N4" s="1" t="s">
        <v>124</v>
      </c>
      <c r="O4" s="1" t="s">
        <v>125</v>
      </c>
      <c r="P4" s="1" t="s">
        <v>126</v>
      </c>
      <c r="Q4" s="1" t="s">
        <v>127</v>
      </c>
      <c r="R4" s="1" t="s">
        <v>128</v>
      </c>
      <c r="S4" s="1" t="s">
        <v>129</v>
      </c>
      <c r="T4" s="1" t="s">
        <v>130</v>
      </c>
      <c r="U4" s="1" t="s">
        <v>131</v>
      </c>
      <c r="V4" s="1" t="s">
        <v>121</v>
      </c>
      <c r="W4" s="1" t="s">
        <v>132</v>
      </c>
      <c r="X4" s="1" t="s">
        <v>133</v>
      </c>
    </row>
    <row r="5" spans="1:24" ht="22" x14ac:dyDescent="0.35">
      <c r="A5" s="2">
        <v>0</v>
      </c>
      <c r="B5" s="3" t="s">
        <v>18</v>
      </c>
      <c r="C5" s="5">
        <v>42674.333333333299</v>
      </c>
      <c r="D5" s="5">
        <v>43343.708333333299</v>
      </c>
      <c r="E5" s="2" t="s">
        <v>20</v>
      </c>
      <c r="F5" s="2"/>
      <c r="G5" s="6"/>
      <c r="H5" s="6">
        <v>0</v>
      </c>
      <c r="I5" s="6"/>
      <c r="J5" s="6"/>
      <c r="K5" s="6">
        <v>1512000</v>
      </c>
      <c r="L5" s="2"/>
      <c r="M5" s="2" t="s">
        <v>141</v>
      </c>
      <c r="N5" s="6"/>
      <c r="O5" s="6"/>
      <c r="P5" s="2"/>
      <c r="Q5" s="6"/>
      <c r="R5" s="6"/>
      <c r="S5" s="6">
        <v>17210</v>
      </c>
      <c r="T5" s="6"/>
      <c r="U5" s="13">
        <v>1.0383597883597899E-2</v>
      </c>
      <c r="V5" s="2"/>
      <c r="W5" s="6">
        <v>15700</v>
      </c>
      <c r="X5" s="6">
        <v>28054.982817869401</v>
      </c>
    </row>
    <row r="6" spans="1:24" x14ac:dyDescent="0.35">
      <c r="A6" s="3">
        <v>1</v>
      </c>
      <c r="B6" s="3" t="s">
        <v>21</v>
      </c>
      <c r="C6" s="9">
        <v>42674.333333333299</v>
      </c>
      <c r="D6" s="9">
        <v>43080.708333333299</v>
      </c>
      <c r="E6" s="12" t="s">
        <v>23</v>
      </c>
      <c r="F6" s="12"/>
      <c r="G6" s="10">
        <v>0</v>
      </c>
      <c r="H6" s="10">
        <v>0</v>
      </c>
      <c r="I6" s="10">
        <v>67.439862542955296</v>
      </c>
      <c r="J6" s="10">
        <v>157000</v>
      </c>
      <c r="K6" s="10">
        <v>157000</v>
      </c>
      <c r="L6" s="8">
        <v>42674</v>
      </c>
      <c r="M6" s="3" t="s">
        <v>141</v>
      </c>
      <c r="N6" s="10">
        <v>28054.982817869401</v>
      </c>
      <c r="O6" s="10">
        <v>252494.84536082501</v>
      </c>
      <c r="P6" s="12" t="s">
        <v>142</v>
      </c>
      <c r="Q6" s="10">
        <v>-10844.982817869401</v>
      </c>
      <c r="R6" s="14">
        <v>0</v>
      </c>
      <c r="S6" s="11">
        <v>17210</v>
      </c>
      <c r="T6" s="10">
        <v>252494.84536082501</v>
      </c>
      <c r="U6" s="15">
        <v>0.1</v>
      </c>
      <c r="V6" s="12" t="s">
        <v>137</v>
      </c>
      <c r="W6" s="10">
        <v>15700</v>
      </c>
      <c r="X6" s="10">
        <v>28054.982817869401</v>
      </c>
    </row>
    <row r="7" spans="1:24" x14ac:dyDescent="0.35">
      <c r="A7" s="4">
        <v>26</v>
      </c>
      <c r="B7" s="4" t="s">
        <v>24</v>
      </c>
      <c r="C7" s="5">
        <v>42793.333333333299</v>
      </c>
      <c r="D7" s="5">
        <v>42821.708333333299</v>
      </c>
      <c r="E7" s="2" t="s">
        <v>26</v>
      </c>
      <c r="F7" s="2"/>
      <c r="G7" s="6"/>
      <c r="H7" s="6">
        <v>0</v>
      </c>
      <c r="I7" s="6"/>
      <c r="J7" s="6"/>
      <c r="K7" s="6">
        <v>71000</v>
      </c>
      <c r="L7" s="2"/>
      <c r="M7" s="2" t="s">
        <v>138</v>
      </c>
      <c r="N7" s="6"/>
      <c r="O7" s="6"/>
      <c r="P7" s="2"/>
      <c r="Q7" s="6"/>
      <c r="R7" s="6"/>
      <c r="S7" s="6">
        <v>0</v>
      </c>
      <c r="T7" s="6"/>
      <c r="U7" s="13">
        <v>0</v>
      </c>
      <c r="V7" s="2"/>
      <c r="W7" s="6">
        <v>0</v>
      </c>
      <c r="X7" s="6">
        <v>0</v>
      </c>
    </row>
    <row r="8" spans="1:24" ht="22" x14ac:dyDescent="0.35">
      <c r="A8" s="3">
        <v>2</v>
      </c>
      <c r="B8" s="3" t="s">
        <v>27</v>
      </c>
      <c r="C8" s="9">
        <v>42793.333333333299</v>
      </c>
      <c r="D8" s="9">
        <v>42793.708333333299</v>
      </c>
      <c r="E8" s="12" t="s">
        <v>29</v>
      </c>
      <c r="F8" s="12"/>
      <c r="G8" s="10">
        <v>0</v>
      </c>
      <c r="H8" s="10">
        <v>0</v>
      </c>
      <c r="I8" s="10">
        <v>1875</v>
      </c>
      <c r="J8" s="10">
        <v>15000</v>
      </c>
      <c r="K8" s="10">
        <v>15000</v>
      </c>
      <c r="L8" s="3"/>
      <c r="M8" s="3" t="s">
        <v>138</v>
      </c>
      <c r="N8" s="10">
        <v>0</v>
      </c>
      <c r="O8" s="10">
        <v>15000</v>
      </c>
      <c r="P8" s="12" t="s">
        <v>29</v>
      </c>
      <c r="Q8" s="10">
        <v>0</v>
      </c>
      <c r="R8" s="14">
        <v>0</v>
      </c>
      <c r="S8" s="11">
        <v>0</v>
      </c>
      <c r="T8" s="10">
        <v>15000</v>
      </c>
      <c r="U8" s="15">
        <v>0</v>
      </c>
      <c r="V8" s="12" t="s">
        <v>139</v>
      </c>
      <c r="W8" s="10">
        <v>0</v>
      </c>
      <c r="X8" s="10">
        <v>0</v>
      </c>
    </row>
    <row r="9" spans="1:24" ht="32.5" x14ac:dyDescent="0.35">
      <c r="A9" s="3">
        <v>3</v>
      </c>
      <c r="B9" s="3" t="s">
        <v>30</v>
      </c>
      <c r="C9" s="9">
        <v>42793.333333333299</v>
      </c>
      <c r="D9" s="9">
        <v>42821.708333333299</v>
      </c>
      <c r="E9" s="12" t="s">
        <v>26</v>
      </c>
      <c r="F9" s="12"/>
      <c r="G9" s="10">
        <v>0</v>
      </c>
      <c r="H9" s="10">
        <v>0</v>
      </c>
      <c r="I9" s="10">
        <v>333.33333333333297</v>
      </c>
      <c r="J9" s="10">
        <v>56000</v>
      </c>
      <c r="K9" s="10">
        <v>56000</v>
      </c>
      <c r="L9" s="3"/>
      <c r="M9" s="3" t="s">
        <v>138</v>
      </c>
      <c r="N9" s="10">
        <v>0</v>
      </c>
      <c r="O9" s="10">
        <v>56000</v>
      </c>
      <c r="P9" s="12" t="s">
        <v>26</v>
      </c>
      <c r="Q9" s="10">
        <v>0</v>
      </c>
      <c r="R9" s="14">
        <v>0</v>
      </c>
      <c r="S9" s="11">
        <v>0</v>
      </c>
      <c r="T9" s="10">
        <v>56000</v>
      </c>
      <c r="U9" s="15">
        <v>0</v>
      </c>
      <c r="V9" s="12" t="s">
        <v>139</v>
      </c>
      <c r="W9" s="10">
        <v>0</v>
      </c>
      <c r="X9" s="10">
        <v>0</v>
      </c>
    </row>
    <row r="10" spans="1:24" x14ac:dyDescent="0.35">
      <c r="A10" s="4">
        <v>27</v>
      </c>
      <c r="B10" s="4" t="s">
        <v>32</v>
      </c>
      <c r="C10" s="5">
        <v>42922.333333333299</v>
      </c>
      <c r="D10" s="5">
        <v>42950.708333333299</v>
      </c>
      <c r="E10" s="2" t="s">
        <v>26</v>
      </c>
      <c r="F10" s="2"/>
      <c r="G10" s="6"/>
      <c r="H10" s="6">
        <v>0</v>
      </c>
      <c r="I10" s="6"/>
      <c r="J10" s="6"/>
      <c r="K10" s="6">
        <v>60000</v>
      </c>
      <c r="L10" s="2"/>
      <c r="M10" s="2" t="s">
        <v>138</v>
      </c>
      <c r="N10" s="6"/>
      <c r="O10" s="6"/>
      <c r="P10" s="2"/>
      <c r="Q10" s="6"/>
      <c r="R10" s="6"/>
      <c r="S10" s="6">
        <v>0</v>
      </c>
      <c r="T10" s="6"/>
      <c r="U10" s="13">
        <v>0</v>
      </c>
      <c r="V10" s="2"/>
      <c r="W10" s="6">
        <v>0</v>
      </c>
      <c r="X10" s="6">
        <v>0</v>
      </c>
    </row>
    <row r="11" spans="1:24" ht="22" x14ac:dyDescent="0.35">
      <c r="A11" s="3">
        <v>4</v>
      </c>
      <c r="B11" s="3" t="s">
        <v>34</v>
      </c>
      <c r="C11" s="9">
        <v>42922.333333333299</v>
      </c>
      <c r="D11" s="9">
        <v>42922.708333333299</v>
      </c>
      <c r="E11" s="12" t="s">
        <v>29</v>
      </c>
      <c r="F11" s="12"/>
      <c r="G11" s="10">
        <v>0</v>
      </c>
      <c r="H11" s="10">
        <v>0</v>
      </c>
      <c r="I11" s="10">
        <v>1875</v>
      </c>
      <c r="J11" s="10">
        <v>15000</v>
      </c>
      <c r="K11" s="10">
        <v>15000</v>
      </c>
      <c r="L11" s="3"/>
      <c r="M11" s="3" t="s">
        <v>138</v>
      </c>
      <c r="N11" s="10">
        <v>0</v>
      </c>
      <c r="O11" s="10">
        <v>15000</v>
      </c>
      <c r="P11" s="12" t="s">
        <v>29</v>
      </c>
      <c r="Q11" s="10">
        <v>0</v>
      </c>
      <c r="R11" s="14">
        <v>0</v>
      </c>
      <c r="S11" s="11">
        <v>0</v>
      </c>
      <c r="T11" s="10">
        <v>15000</v>
      </c>
      <c r="U11" s="15">
        <v>0</v>
      </c>
      <c r="V11" s="12" t="s">
        <v>139</v>
      </c>
      <c r="W11" s="10">
        <v>0</v>
      </c>
      <c r="X11" s="10">
        <v>0</v>
      </c>
    </row>
    <row r="12" spans="1:24" ht="32.5" x14ac:dyDescent="0.35">
      <c r="A12" s="3">
        <v>5</v>
      </c>
      <c r="B12" s="3" t="s">
        <v>36</v>
      </c>
      <c r="C12" s="9">
        <v>42922.333333333299</v>
      </c>
      <c r="D12" s="9">
        <v>42950.708333333299</v>
      </c>
      <c r="E12" s="12" t="s">
        <v>26</v>
      </c>
      <c r="F12" s="12"/>
      <c r="G12" s="10">
        <v>0</v>
      </c>
      <c r="H12" s="10">
        <v>0</v>
      </c>
      <c r="I12" s="10">
        <v>267.857142857143</v>
      </c>
      <c r="J12" s="10">
        <v>45000</v>
      </c>
      <c r="K12" s="10">
        <v>45000</v>
      </c>
      <c r="L12" s="3"/>
      <c r="M12" s="3" t="s">
        <v>138</v>
      </c>
      <c r="N12" s="10">
        <v>0</v>
      </c>
      <c r="O12" s="10">
        <v>45000</v>
      </c>
      <c r="P12" s="12" t="s">
        <v>26</v>
      </c>
      <c r="Q12" s="10">
        <v>0</v>
      </c>
      <c r="R12" s="14">
        <v>0</v>
      </c>
      <c r="S12" s="11">
        <v>0</v>
      </c>
      <c r="T12" s="10">
        <v>45000</v>
      </c>
      <c r="U12" s="15">
        <v>0</v>
      </c>
      <c r="V12" s="12" t="s">
        <v>139</v>
      </c>
      <c r="W12" s="10">
        <v>0</v>
      </c>
      <c r="X12" s="10">
        <v>0</v>
      </c>
    </row>
    <row r="13" spans="1:24" ht="22" x14ac:dyDescent="0.35">
      <c r="A13" s="3">
        <v>6</v>
      </c>
      <c r="B13" s="3" t="s">
        <v>38</v>
      </c>
      <c r="C13" s="9">
        <v>42821.333333333299</v>
      </c>
      <c r="D13" s="9">
        <v>43031.708333333299</v>
      </c>
      <c r="E13" s="12" t="s">
        <v>40</v>
      </c>
      <c r="F13" s="12"/>
      <c r="G13" s="10">
        <v>0</v>
      </c>
      <c r="H13" s="10">
        <v>0</v>
      </c>
      <c r="I13" s="10">
        <v>48.013245033112597</v>
      </c>
      <c r="J13" s="10">
        <v>58000</v>
      </c>
      <c r="K13" s="10">
        <v>58000</v>
      </c>
      <c r="L13" s="3"/>
      <c r="M13" s="3" t="s">
        <v>138</v>
      </c>
      <c r="N13" s="10">
        <v>0</v>
      </c>
      <c r="O13" s="10">
        <v>58000</v>
      </c>
      <c r="P13" s="12" t="s">
        <v>40</v>
      </c>
      <c r="Q13" s="10">
        <v>0</v>
      </c>
      <c r="R13" s="14">
        <v>0</v>
      </c>
      <c r="S13" s="11">
        <v>0</v>
      </c>
      <c r="T13" s="10">
        <v>58000</v>
      </c>
      <c r="U13" s="15">
        <v>0</v>
      </c>
      <c r="V13" s="12" t="s">
        <v>139</v>
      </c>
      <c r="W13" s="10">
        <v>0</v>
      </c>
      <c r="X13" s="10">
        <v>0</v>
      </c>
    </row>
    <row r="14" spans="1:24" ht="22" x14ac:dyDescent="0.35">
      <c r="A14" s="3">
        <v>7</v>
      </c>
      <c r="B14" s="3" t="s">
        <v>41</v>
      </c>
      <c r="C14" s="9">
        <v>42821.333333333299</v>
      </c>
      <c r="D14" s="9">
        <v>43038.708333333299</v>
      </c>
      <c r="E14" s="12" t="s">
        <v>43</v>
      </c>
      <c r="F14" s="12"/>
      <c r="G14" s="10">
        <v>0</v>
      </c>
      <c r="H14" s="10">
        <v>0</v>
      </c>
      <c r="I14" s="10">
        <v>17.628205128205099</v>
      </c>
      <c r="J14" s="10">
        <v>22000</v>
      </c>
      <c r="K14" s="10">
        <v>22000</v>
      </c>
      <c r="L14" s="3"/>
      <c r="M14" s="3" t="s">
        <v>138</v>
      </c>
      <c r="N14" s="10">
        <v>0</v>
      </c>
      <c r="O14" s="10">
        <v>22000</v>
      </c>
      <c r="P14" s="12" t="s">
        <v>43</v>
      </c>
      <c r="Q14" s="10">
        <v>0</v>
      </c>
      <c r="R14" s="14">
        <v>0</v>
      </c>
      <c r="S14" s="11">
        <v>0</v>
      </c>
      <c r="T14" s="10">
        <v>22000</v>
      </c>
      <c r="U14" s="15">
        <v>0</v>
      </c>
      <c r="V14" s="12" t="s">
        <v>139</v>
      </c>
      <c r="W14" s="10">
        <v>0</v>
      </c>
      <c r="X14" s="10">
        <v>0</v>
      </c>
    </row>
    <row r="15" spans="1:24" ht="22" x14ac:dyDescent="0.35">
      <c r="A15" s="3">
        <v>8</v>
      </c>
      <c r="B15" s="3" t="s">
        <v>44</v>
      </c>
      <c r="C15" s="9">
        <v>42950.333333333299</v>
      </c>
      <c r="D15" s="9">
        <v>43112.708333333299</v>
      </c>
      <c r="E15" s="12" t="s">
        <v>46</v>
      </c>
      <c r="F15" s="12"/>
      <c r="G15" s="10">
        <v>0</v>
      </c>
      <c r="H15" s="10">
        <v>0</v>
      </c>
      <c r="I15" s="10">
        <v>58.760683760683797</v>
      </c>
      <c r="J15" s="10">
        <v>55000</v>
      </c>
      <c r="K15" s="10">
        <v>55000</v>
      </c>
      <c r="L15" s="3"/>
      <c r="M15" s="3" t="s">
        <v>138</v>
      </c>
      <c r="N15" s="10">
        <v>0</v>
      </c>
      <c r="O15" s="10">
        <v>55000</v>
      </c>
      <c r="P15" s="12" t="s">
        <v>46</v>
      </c>
      <c r="Q15" s="10">
        <v>0</v>
      </c>
      <c r="R15" s="14">
        <v>0</v>
      </c>
      <c r="S15" s="11">
        <v>0</v>
      </c>
      <c r="T15" s="10">
        <v>55000</v>
      </c>
      <c r="U15" s="15">
        <v>0</v>
      </c>
      <c r="V15" s="12" t="s">
        <v>139</v>
      </c>
      <c r="W15" s="10">
        <v>0</v>
      </c>
      <c r="X15" s="10">
        <v>0</v>
      </c>
    </row>
    <row r="16" spans="1:24" ht="22" x14ac:dyDescent="0.35">
      <c r="A16" s="3">
        <v>9</v>
      </c>
      <c r="B16" s="3" t="s">
        <v>47</v>
      </c>
      <c r="C16" s="9">
        <v>42950.333333333299</v>
      </c>
      <c r="D16" s="9">
        <v>43119.708333333299</v>
      </c>
      <c r="E16" s="12" t="s">
        <v>49</v>
      </c>
      <c r="F16" s="12"/>
      <c r="G16" s="10">
        <v>0</v>
      </c>
      <c r="H16" s="10">
        <v>0</v>
      </c>
      <c r="I16" s="10">
        <v>20.491803278688501</v>
      </c>
      <c r="J16" s="10">
        <v>20000</v>
      </c>
      <c r="K16" s="10">
        <v>20000</v>
      </c>
      <c r="L16" s="3"/>
      <c r="M16" s="3" t="s">
        <v>138</v>
      </c>
      <c r="N16" s="10">
        <v>0</v>
      </c>
      <c r="O16" s="10">
        <v>20000</v>
      </c>
      <c r="P16" s="12" t="s">
        <v>49</v>
      </c>
      <c r="Q16" s="10">
        <v>0</v>
      </c>
      <c r="R16" s="14">
        <v>0</v>
      </c>
      <c r="S16" s="11">
        <v>0</v>
      </c>
      <c r="T16" s="10">
        <v>20000</v>
      </c>
      <c r="U16" s="15">
        <v>0</v>
      </c>
      <c r="V16" s="12" t="s">
        <v>139</v>
      </c>
      <c r="W16" s="10">
        <v>0</v>
      </c>
      <c r="X16" s="10">
        <v>0</v>
      </c>
    </row>
    <row r="17" spans="1:24" ht="22" x14ac:dyDescent="0.35">
      <c r="A17" s="3">
        <v>10</v>
      </c>
      <c r="B17" s="3" t="s">
        <v>50</v>
      </c>
      <c r="C17" s="9">
        <v>42944.333333333299</v>
      </c>
      <c r="D17" s="9">
        <v>43332.708333333299</v>
      </c>
      <c r="E17" s="12" t="s">
        <v>52</v>
      </c>
      <c r="F17" s="12"/>
      <c r="G17" s="10">
        <v>0</v>
      </c>
      <c r="H17" s="10">
        <v>0</v>
      </c>
      <c r="I17" s="10">
        <v>101.534296028881</v>
      </c>
      <c r="J17" s="10">
        <v>225000</v>
      </c>
      <c r="K17" s="10">
        <v>225000</v>
      </c>
      <c r="L17" s="3"/>
      <c r="M17" s="3" t="s">
        <v>138</v>
      </c>
      <c r="N17" s="10">
        <v>0</v>
      </c>
      <c r="O17" s="10">
        <v>225000</v>
      </c>
      <c r="P17" s="12" t="s">
        <v>52</v>
      </c>
      <c r="Q17" s="10">
        <v>0</v>
      </c>
      <c r="R17" s="14">
        <v>0</v>
      </c>
      <c r="S17" s="11">
        <v>0</v>
      </c>
      <c r="T17" s="10">
        <v>225000</v>
      </c>
      <c r="U17" s="15">
        <v>0</v>
      </c>
      <c r="V17" s="12" t="s">
        <v>139</v>
      </c>
      <c r="W17" s="10">
        <v>0</v>
      </c>
      <c r="X17" s="10">
        <v>0</v>
      </c>
    </row>
    <row r="18" spans="1:24" ht="22" x14ac:dyDescent="0.35">
      <c r="A18" s="3">
        <v>11</v>
      </c>
      <c r="B18" s="3" t="s">
        <v>53</v>
      </c>
      <c r="C18" s="9">
        <v>43031.333333333299</v>
      </c>
      <c r="D18" s="9">
        <v>43168.708333333299</v>
      </c>
      <c r="E18" s="12" t="s">
        <v>55</v>
      </c>
      <c r="F18" s="12"/>
      <c r="G18" s="10">
        <v>0</v>
      </c>
      <c r="H18" s="10">
        <v>0</v>
      </c>
      <c r="I18" s="10">
        <v>10</v>
      </c>
      <c r="J18" s="10">
        <v>8000</v>
      </c>
      <c r="K18" s="10">
        <v>8000</v>
      </c>
      <c r="L18" s="3"/>
      <c r="M18" s="3" t="s">
        <v>138</v>
      </c>
      <c r="N18" s="10">
        <v>0</v>
      </c>
      <c r="O18" s="10">
        <v>8000</v>
      </c>
      <c r="P18" s="12" t="s">
        <v>55</v>
      </c>
      <c r="Q18" s="10">
        <v>0</v>
      </c>
      <c r="R18" s="14">
        <v>0</v>
      </c>
      <c r="S18" s="11">
        <v>0</v>
      </c>
      <c r="T18" s="10">
        <v>8000</v>
      </c>
      <c r="U18" s="15">
        <v>0</v>
      </c>
      <c r="V18" s="12" t="s">
        <v>139</v>
      </c>
      <c r="W18" s="10">
        <v>0</v>
      </c>
      <c r="X18" s="10">
        <v>0</v>
      </c>
    </row>
    <row r="19" spans="1:24" ht="32.5" x14ac:dyDescent="0.35">
      <c r="A19" s="3">
        <v>12</v>
      </c>
      <c r="B19" s="3" t="s">
        <v>56</v>
      </c>
      <c r="C19" s="9">
        <v>43031.333333333299</v>
      </c>
      <c r="D19" s="9">
        <v>43168.708333333299</v>
      </c>
      <c r="E19" s="12" t="s">
        <v>55</v>
      </c>
      <c r="F19" s="12"/>
      <c r="G19" s="10">
        <v>0</v>
      </c>
      <c r="H19" s="10">
        <v>0</v>
      </c>
      <c r="I19" s="10">
        <v>43.75</v>
      </c>
      <c r="J19" s="10">
        <v>35000</v>
      </c>
      <c r="K19" s="10">
        <v>35000</v>
      </c>
      <c r="L19" s="3"/>
      <c r="M19" s="3" t="s">
        <v>138</v>
      </c>
      <c r="N19" s="10">
        <v>0</v>
      </c>
      <c r="O19" s="10">
        <v>35000</v>
      </c>
      <c r="P19" s="12" t="s">
        <v>55</v>
      </c>
      <c r="Q19" s="10">
        <v>0</v>
      </c>
      <c r="R19" s="14">
        <v>0</v>
      </c>
      <c r="S19" s="11">
        <v>0</v>
      </c>
      <c r="T19" s="10">
        <v>35000</v>
      </c>
      <c r="U19" s="15">
        <v>0</v>
      </c>
      <c r="V19" s="12" t="s">
        <v>139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58</v>
      </c>
      <c r="C20" s="9">
        <v>42968.333333333299</v>
      </c>
      <c r="D20" s="9">
        <v>43182.708333333299</v>
      </c>
      <c r="E20" s="12" t="s">
        <v>60</v>
      </c>
      <c r="F20" s="12"/>
      <c r="G20" s="10">
        <v>0</v>
      </c>
      <c r="H20" s="10">
        <v>0</v>
      </c>
      <c r="I20" s="10">
        <v>278.22580645161298</v>
      </c>
      <c r="J20" s="10">
        <v>345000</v>
      </c>
      <c r="K20" s="10">
        <v>345000</v>
      </c>
      <c r="L20" s="3"/>
      <c r="M20" s="3" t="s">
        <v>138</v>
      </c>
      <c r="N20" s="10">
        <v>0</v>
      </c>
      <c r="O20" s="10">
        <v>345000</v>
      </c>
      <c r="P20" s="12" t="s">
        <v>60</v>
      </c>
      <c r="Q20" s="10">
        <v>0</v>
      </c>
      <c r="R20" s="14">
        <v>0</v>
      </c>
      <c r="S20" s="11">
        <v>0</v>
      </c>
      <c r="T20" s="10">
        <v>345000</v>
      </c>
      <c r="U20" s="15">
        <v>0</v>
      </c>
      <c r="V20" s="12" t="s">
        <v>139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61</v>
      </c>
      <c r="C21" s="9">
        <v>42968.333333333299</v>
      </c>
      <c r="D21" s="9">
        <v>43179.708333333299</v>
      </c>
      <c r="E21" s="12" t="s">
        <v>63</v>
      </c>
      <c r="F21" s="12"/>
      <c r="G21" s="10">
        <v>0</v>
      </c>
      <c r="H21" s="10">
        <v>0</v>
      </c>
      <c r="I21" s="10">
        <v>37.006578947368403</v>
      </c>
      <c r="J21" s="10">
        <v>45000</v>
      </c>
      <c r="K21" s="10">
        <v>45000</v>
      </c>
      <c r="L21" s="3"/>
      <c r="M21" s="3" t="s">
        <v>138</v>
      </c>
      <c r="N21" s="10">
        <v>0</v>
      </c>
      <c r="O21" s="10">
        <v>45000</v>
      </c>
      <c r="P21" s="12" t="s">
        <v>63</v>
      </c>
      <c r="Q21" s="10">
        <v>0</v>
      </c>
      <c r="R21" s="14">
        <v>0</v>
      </c>
      <c r="S21" s="11">
        <v>0</v>
      </c>
      <c r="T21" s="10">
        <v>45000</v>
      </c>
      <c r="U21" s="15">
        <v>0</v>
      </c>
      <c r="V21" s="12" t="s">
        <v>139</v>
      </c>
      <c r="W21" s="10">
        <v>0</v>
      </c>
      <c r="X21" s="10">
        <v>0</v>
      </c>
    </row>
    <row r="22" spans="1:24" ht="22" x14ac:dyDescent="0.35">
      <c r="A22" s="3">
        <v>15</v>
      </c>
      <c r="B22" s="3" t="s">
        <v>64</v>
      </c>
      <c r="C22" s="9">
        <v>43003.333333333299</v>
      </c>
      <c r="D22" s="9">
        <v>43179.708333333299</v>
      </c>
      <c r="E22" s="12" t="s">
        <v>66</v>
      </c>
      <c r="F22" s="12"/>
      <c r="G22" s="10">
        <v>0</v>
      </c>
      <c r="H22" s="10">
        <v>0</v>
      </c>
      <c r="I22" s="10">
        <v>8.8582677165354298</v>
      </c>
      <c r="J22" s="10">
        <v>9000</v>
      </c>
      <c r="K22" s="10">
        <v>9000</v>
      </c>
      <c r="L22" s="3"/>
      <c r="M22" s="3" t="s">
        <v>138</v>
      </c>
      <c r="N22" s="10">
        <v>0</v>
      </c>
      <c r="O22" s="10">
        <v>9000</v>
      </c>
      <c r="P22" s="12" t="s">
        <v>66</v>
      </c>
      <c r="Q22" s="10">
        <v>0</v>
      </c>
      <c r="R22" s="14">
        <v>0</v>
      </c>
      <c r="S22" s="11">
        <v>0</v>
      </c>
      <c r="T22" s="10">
        <v>9000</v>
      </c>
      <c r="U22" s="15">
        <v>0</v>
      </c>
      <c r="V22" s="12" t="s">
        <v>139</v>
      </c>
      <c r="W22" s="10">
        <v>0</v>
      </c>
      <c r="X22" s="10">
        <v>0</v>
      </c>
    </row>
    <row r="23" spans="1:24" x14ac:dyDescent="0.35">
      <c r="A23" s="3">
        <v>16</v>
      </c>
      <c r="B23" s="3" t="s">
        <v>67</v>
      </c>
      <c r="C23" s="9">
        <v>43003.333333333299</v>
      </c>
      <c r="D23" s="9">
        <v>43297.708333333299</v>
      </c>
      <c r="E23" s="12" t="s">
        <v>69</v>
      </c>
      <c r="F23" s="12"/>
      <c r="G23" s="10">
        <v>0</v>
      </c>
      <c r="H23" s="10">
        <v>0</v>
      </c>
      <c r="I23" s="10">
        <v>52.725118483412302</v>
      </c>
      <c r="J23" s="10">
        <v>89000</v>
      </c>
      <c r="K23" s="10">
        <v>89000</v>
      </c>
      <c r="L23" s="3"/>
      <c r="M23" s="3" t="s">
        <v>138</v>
      </c>
      <c r="N23" s="10">
        <v>0</v>
      </c>
      <c r="O23" s="10">
        <v>89000</v>
      </c>
      <c r="P23" s="12" t="s">
        <v>69</v>
      </c>
      <c r="Q23" s="10">
        <v>0</v>
      </c>
      <c r="R23" s="14">
        <v>0</v>
      </c>
      <c r="S23" s="11">
        <v>0</v>
      </c>
      <c r="T23" s="10">
        <v>89000</v>
      </c>
      <c r="U23" s="15">
        <v>0</v>
      </c>
      <c r="V23" s="12" t="s">
        <v>139</v>
      </c>
      <c r="W23" s="10">
        <v>0</v>
      </c>
      <c r="X23" s="10">
        <v>0</v>
      </c>
    </row>
    <row r="24" spans="1:24" ht="22" x14ac:dyDescent="0.35">
      <c r="A24" s="3">
        <v>17</v>
      </c>
      <c r="B24" s="3" t="s">
        <v>70</v>
      </c>
      <c r="C24" s="9">
        <v>43003.333333333299</v>
      </c>
      <c r="D24" s="9">
        <v>43147.708333333299</v>
      </c>
      <c r="E24" s="12" t="s">
        <v>72</v>
      </c>
      <c r="F24" s="12"/>
      <c r="G24" s="10">
        <v>0</v>
      </c>
      <c r="H24" s="10">
        <v>0</v>
      </c>
      <c r="I24" s="10">
        <v>59.523809523809497</v>
      </c>
      <c r="J24" s="10">
        <v>50000</v>
      </c>
      <c r="K24" s="10">
        <v>50000</v>
      </c>
      <c r="L24" s="3"/>
      <c r="M24" s="3" t="s">
        <v>138</v>
      </c>
      <c r="N24" s="10">
        <v>0</v>
      </c>
      <c r="O24" s="10">
        <v>50000</v>
      </c>
      <c r="P24" s="12" t="s">
        <v>72</v>
      </c>
      <c r="Q24" s="10">
        <v>0</v>
      </c>
      <c r="R24" s="14">
        <v>0</v>
      </c>
      <c r="S24" s="11">
        <v>0</v>
      </c>
      <c r="T24" s="10">
        <v>50000</v>
      </c>
      <c r="U24" s="15">
        <v>0</v>
      </c>
      <c r="V24" s="12" t="s">
        <v>139</v>
      </c>
      <c r="W24" s="10">
        <v>0</v>
      </c>
      <c r="X24" s="10">
        <v>0</v>
      </c>
    </row>
    <row r="25" spans="1:24" ht="22" x14ac:dyDescent="0.35">
      <c r="A25" s="3">
        <v>18</v>
      </c>
      <c r="B25" s="3" t="s">
        <v>73</v>
      </c>
      <c r="C25" s="9">
        <v>43003.333333333299</v>
      </c>
      <c r="D25" s="9">
        <v>43147.708333333299</v>
      </c>
      <c r="E25" s="12" t="s">
        <v>72</v>
      </c>
      <c r="F25" s="12"/>
      <c r="G25" s="10">
        <v>0</v>
      </c>
      <c r="H25" s="10">
        <v>0</v>
      </c>
      <c r="I25" s="10">
        <v>35.714285714285701</v>
      </c>
      <c r="J25" s="10">
        <v>30000</v>
      </c>
      <c r="K25" s="10">
        <v>30000</v>
      </c>
      <c r="L25" s="3"/>
      <c r="M25" s="3" t="s">
        <v>138</v>
      </c>
      <c r="N25" s="10">
        <v>0</v>
      </c>
      <c r="O25" s="10">
        <v>30000</v>
      </c>
      <c r="P25" s="12" t="s">
        <v>72</v>
      </c>
      <c r="Q25" s="10">
        <v>0</v>
      </c>
      <c r="R25" s="14">
        <v>0</v>
      </c>
      <c r="S25" s="11">
        <v>0</v>
      </c>
      <c r="T25" s="10">
        <v>30000</v>
      </c>
      <c r="U25" s="15">
        <v>0</v>
      </c>
      <c r="V25" s="12" t="s">
        <v>139</v>
      </c>
      <c r="W25" s="10">
        <v>0</v>
      </c>
      <c r="X25" s="10">
        <v>0</v>
      </c>
    </row>
    <row r="26" spans="1:24" ht="22" x14ac:dyDescent="0.35">
      <c r="A26" s="3">
        <v>19</v>
      </c>
      <c r="B26" s="3" t="s">
        <v>75</v>
      </c>
      <c r="C26" s="9">
        <v>43059.333333333299</v>
      </c>
      <c r="D26" s="9">
        <v>43238.708333333299</v>
      </c>
      <c r="E26" s="12" t="s">
        <v>77</v>
      </c>
      <c r="F26" s="12"/>
      <c r="G26" s="10">
        <v>0</v>
      </c>
      <c r="H26" s="10">
        <v>0</v>
      </c>
      <c r="I26" s="10">
        <v>38.461538461538503</v>
      </c>
      <c r="J26" s="10">
        <v>40000</v>
      </c>
      <c r="K26" s="10">
        <v>40000</v>
      </c>
      <c r="L26" s="3"/>
      <c r="M26" s="3" t="s">
        <v>138</v>
      </c>
      <c r="N26" s="10">
        <v>0</v>
      </c>
      <c r="O26" s="10">
        <v>40000</v>
      </c>
      <c r="P26" s="12" t="s">
        <v>77</v>
      </c>
      <c r="Q26" s="10">
        <v>0</v>
      </c>
      <c r="R26" s="14">
        <v>0</v>
      </c>
      <c r="S26" s="11">
        <v>0</v>
      </c>
      <c r="T26" s="10">
        <v>40000</v>
      </c>
      <c r="U26" s="15">
        <v>0</v>
      </c>
      <c r="V26" s="12" t="s">
        <v>139</v>
      </c>
      <c r="W26" s="10">
        <v>0</v>
      </c>
      <c r="X26" s="10">
        <v>0</v>
      </c>
    </row>
    <row r="27" spans="1:24" x14ac:dyDescent="0.35">
      <c r="A27" s="3">
        <v>20</v>
      </c>
      <c r="B27" s="3" t="s">
        <v>78</v>
      </c>
      <c r="C27" s="9">
        <v>43045.333333333299</v>
      </c>
      <c r="D27" s="9">
        <v>43070.708333333299</v>
      </c>
      <c r="E27" s="12" t="s">
        <v>80</v>
      </c>
      <c r="F27" s="12"/>
      <c r="G27" s="10">
        <v>0</v>
      </c>
      <c r="H27" s="10">
        <v>0</v>
      </c>
      <c r="I27" s="10">
        <v>156.25</v>
      </c>
      <c r="J27" s="10">
        <v>25000</v>
      </c>
      <c r="K27" s="10">
        <v>25000</v>
      </c>
      <c r="L27" s="3"/>
      <c r="M27" s="3" t="s">
        <v>138</v>
      </c>
      <c r="N27" s="10">
        <v>0</v>
      </c>
      <c r="O27" s="10">
        <v>25000</v>
      </c>
      <c r="P27" s="12" t="s">
        <v>80</v>
      </c>
      <c r="Q27" s="10">
        <v>0</v>
      </c>
      <c r="R27" s="14">
        <v>0</v>
      </c>
      <c r="S27" s="11">
        <v>0</v>
      </c>
      <c r="T27" s="10">
        <v>25000</v>
      </c>
      <c r="U27" s="15">
        <v>0</v>
      </c>
      <c r="V27" s="12" t="s">
        <v>139</v>
      </c>
      <c r="W27" s="10">
        <v>0</v>
      </c>
      <c r="X27" s="10">
        <v>0</v>
      </c>
    </row>
    <row r="28" spans="1:24" x14ac:dyDescent="0.35">
      <c r="A28" s="3">
        <v>21</v>
      </c>
      <c r="B28" s="3" t="s">
        <v>81</v>
      </c>
      <c r="C28" s="9">
        <v>43119.333333333299</v>
      </c>
      <c r="D28" s="9">
        <v>43207.708333333299</v>
      </c>
      <c r="E28" s="12" t="s">
        <v>83</v>
      </c>
      <c r="F28" s="12"/>
      <c r="G28" s="10">
        <v>0</v>
      </c>
      <c r="H28" s="10">
        <v>0</v>
      </c>
      <c r="I28" s="10">
        <v>49.603174603174601</v>
      </c>
      <c r="J28" s="10">
        <v>25000</v>
      </c>
      <c r="K28" s="10">
        <v>25000</v>
      </c>
      <c r="L28" s="3"/>
      <c r="M28" s="3" t="s">
        <v>138</v>
      </c>
      <c r="N28" s="10">
        <v>0</v>
      </c>
      <c r="O28" s="10">
        <v>25000</v>
      </c>
      <c r="P28" s="12" t="s">
        <v>83</v>
      </c>
      <c r="Q28" s="10">
        <v>0</v>
      </c>
      <c r="R28" s="14">
        <v>0</v>
      </c>
      <c r="S28" s="11">
        <v>0</v>
      </c>
      <c r="T28" s="10">
        <v>25000</v>
      </c>
      <c r="U28" s="15">
        <v>0</v>
      </c>
      <c r="V28" s="12" t="s">
        <v>139</v>
      </c>
      <c r="W28" s="10">
        <v>0</v>
      </c>
      <c r="X28" s="10">
        <v>0</v>
      </c>
    </row>
    <row r="29" spans="1:24" ht="22" x14ac:dyDescent="0.35">
      <c r="A29" s="3">
        <v>22</v>
      </c>
      <c r="B29" s="3" t="s">
        <v>84</v>
      </c>
      <c r="C29" s="9">
        <v>43070.333333333299</v>
      </c>
      <c r="D29" s="9">
        <v>43098.708333333299</v>
      </c>
      <c r="E29" s="12" t="s">
        <v>26</v>
      </c>
      <c r="F29" s="12"/>
      <c r="G29" s="10">
        <v>0</v>
      </c>
      <c r="H29" s="10">
        <v>0</v>
      </c>
      <c r="I29" s="10">
        <v>107.142857142857</v>
      </c>
      <c r="J29" s="10">
        <v>18000</v>
      </c>
      <c r="K29" s="10">
        <v>18000</v>
      </c>
      <c r="L29" s="3"/>
      <c r="M29" s="3" t="s">
        <v>138</v>
      </c>
      <c r="N29" s="10">
        <v>0</v>
      </c>
      <c r="O29" s="10">
        <v>18000</v>
      </c>
      <c r="P29" s="12" t="s">
        <v>26</v>
      </c>
      <c r="Q29" s="10">
        <v>0</v>
      </c>
      <c r="R29" s="14">
        <v>0</v>
      </c>
      <c r="S29" s="11">
        <v>0</v>
      </c>
      <c r="T29" s="10">
        <v>18000</v>
      </c>
      <c r="U29" s="15">
        <v>0</v>
      </c>
      <c r="V29" s="12" t="s">
        <v>139</v>
      </c>
      <c r="W29" s="10">
        <v>0</v>
      </c>
      <c r="X29" s="10">
        <v>0</v>
      </c>
    </row>
    <row r="30" spans="1:24" ht="22" x14ac:dyDescent="0.35">
      <c r="A30" s="3">
        <v>23</v>
      </c>
      <c r="B30" s="3" t="s">
        <v>86</v>
      </c>
      <c r="C30" s="9">
        <v>43332.333333333299</v>
      </c>
      <c r="D30" s="9">
        <v>43343.708333333299</v>
      </c>
      <c r="E30" s="12" t="s">
        <v>88</v>
      </c>
      <c r="F30" s="12"/>
      <c r="G30" s="10">
        <v>0</v>
      </c>
      <c r="H30" s="10">
        <v>0</v>
      </c>
      <c r="I30" s="10">
        <v>1562.5</v>
      </c>
      <c r="J30" s="10">
        <v>125000</v>
      </c>
      <c r="K30" s="10">
        <v>125000</v>
      </c>
      <c r="L30" s="3"/>
      <c r="M30" s="3" t="s">
        <v>138</v>
      </c>
      <c r="N30" s="10">
        <v>0</v>
      </c>
      <c r="O30" s="10">
        <v>125000</v>
      </c>
      <c r="P30" s="12" t="s">
        <v>88</v>
      </c>
      <c r="Q30" s="10">
        <v>0</v>
      </c>
      <c r="R30" s="14">
        <v>0</v>
      </c>
      <c r="S30" s="11">
        <v>0</v>
      </c>
      <c r="T30" s="10">
        <v>125000</v>
      </c>
      <c r="U30" s="15">
        <v>0</v>
      </c>
      <c r="V30" s="12" t="s">
        <v>139</v>
      </c>
      <c r="W30" s="10">
        <v>0</v>
      </c>
      <c r="X30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30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119</v>
      </c>
      <c r="C1" s="8">
        <v>42844.708333333299</v>
      </c>
      <c r="E1" s="1" t="s">
        <v>120</v>
      </c>
      <c r="F1" s="4" t="s">
        <v>143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121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122</v>
      </c>
      <c r="M4" s="1" t="s">
        <v>123</v>
      </c>
      <c r="N4" s="1" t="s">
        <v>124</v>
      </c>
      <c r="O4" s="1" t="s">
        <v>125</v>
      </c>
      <c r="P4" s="1" t="s">
        <v>126</v>
      </c>
      <c r="Q4" s="1" t="s">
        <v>127</v>
      </c>
      <c r="R4" s="1" t="s">
        <v>128</v>
      </c>
      <c r="S4" s="1" t="s">
        <v>129</v>
      </c>
      <c r="T4" s="1" t="s">
        <v>130</v>
      </c>
      <c r="U4" s="1" t="s">
        <v>131</v>
      </c>
      <c r="V4" s="1" t="s">
        <v>121</v>
      </c>
      <c r="W4" s="1" t="s">
        <v>132</v>
      </c>
      <c r="X4" s="1" t="s">
        <v>133</v>
      </c>
    </row>
    <row r="5" spans="1:24" ht="22" x14ac:dyDescent="0.35">
      <c r="A5" s="2">
        <v>0</v>
      </c>
      <c r="B5" s="3" t="s">
        <v>18</v>
      </c>
      <c r="C5" s="5">
        <v>42674.333333333299</v>
      </c>
      <c r="D5" s="5">
        <v>43343.708333333299</v>
      </c>
      <c r="E5" s="2" t="s">
        <v>20</v>
      </c>
      <c r="F5" s="2"/>
      <c r="G5" s="6"/>
      <c r="H5" s="6">
        <v>0</v>
      </c>
      <c r="I5" s="6"/>
      <c r="J5" s="6"/>
      <c r="K5" s="6">
        <v>1512000</v>
      </c>
      <c r="L5" s="2"/>
      <c r="M5" s="2" t="s">
        <v>144</v>
      </c>
      <c r="N5" s="6"/>
      <c r="O5" s="6"/>
      <c r="P5" s="2"/>
      <c r="Q5" s="6"/>
      <c r="R5" s="6"/>
      <c r="S5" s="6">
        <v>119086.96598639499</v>
      </c>
      <c r="T5" s="6"/>
      <c r="U5" s="13">
        <v>7.8067073390202593E-2</v>
      </c>
      <c r="V5" s="2"/>
      <c r="W5" s="6">
        <v>118037.414965986</v>
      </c>
      <c r="X5" s="6">
        <v>146813.19356549799</v>
      </c>
    </row>
    <row r="6" spans="1:24" x14ac:dyDescent="0.35">
      <c r="A6" s="3">
        <v>1</v>
      </c>
      <c r="B6" s="3" t="s">
        <v>21</v>
      </c>
      <c r="C6" s="9">
        <v>42674.333333333299</v>
      </c>
      <c r="D6" s="9">
        <v>43080.708333333299</v>
      </c>
      <c r="E6" s="12" t="s">
        <v>23</v>
      </c>
      <c r="F6" s="12"/>
      <c r="G6" s="10">
        <v>0</v>
      </c>
      <c r="H6" s="10">
        <v>0</v>
      </c>
      <c r="I6" s="10">
        <v>67.439862542955296</v>
      </c>
      <c r="J6" s="10">
        <v>157000</v>
      </c>
      <c r="K6" s="10">
        <v>157000</v>
      </c>
      <c r="L6" s="8">
        <v>42674</v>
      </c>
      <c r="M6" s="3" t="s">
        <v>144</v>
      </c>
      <c r="N6" s="10">
        <v>66360.824742268</v>
      </c>
      <c r="O6" s="10">
        <v>235297.680412371</v>
      </c>
      <c r="P6" s="12" t="s">
        <v>145</v>
      </c>
      <c r="Q6" s="10">
        <v>-28498.824742268</v>
      </c>
      <c r="R6" s="14">
        <v>0</v>
      </c>
      <c r="S6" s="11">
        <v>37862</v>
      </c>
      <c r="T6" s="10">
        <v>235297.680412371</v>
      </c>
      <c r="U6" s="15">
        <v>0.22</v>
      </c>
      <c r="V6" s="12" t="s">
        <v>137</v>
      </c>
      <c r="W6" s="10">
        <v>34540</v>
      </c>
      <c r="X6" s="10">
        <v>66360.824742268</v>
      </c>
    </row>
    <row r="7" spans="1:24" x14ac:dyDescent="0.35">
      <c r="A7" s="4">
        <v>26</v>
      </c>
      <c r="B7" s="4" t="s">
        <v>24</v>
      </c>
      <c r="C7" s="5">
        <v>42793.333333333299</v>
      </c>
      <c r="D7" s="5">
        <v>42821.708333333299</v>
      </c>
      <c r="E7" s="2" t="s">
        <v>26</v>
      </c>
      <c r="F7" s="2"/>
      <c r="G7" s="6"/>
      <c r="H7" s="6">
        <v>0</v>
      </c>
      <c r="I7" s="6"/>
      <c r="J7" s="6"/>
      <c r="K7" s="6">
        <v>71000</v>
      </c>
      <c r="L7" s="2"/>
      <c r="M7" s="2" t="s">
        <v>146</v>
      </c>
      <c r="N7" s="6"/>
      <c r="O7" s="6"/>
      <c r="P7" s="2"/>
      <c r="Q7" s="6"/>
      <c r="R7" s="6"/>
      <c r="S7" s="6">
        <v>69070</v>
      </c>
      <c r="T7" s="6"/>
      <c r="U7" s="13">
        <v>1</v>
      </c>
      <c r="V7" s="2"/>
      <c r="W7" s="6">
        <v>71000</v>
      </c>
      <c r="X7" s="6">
        <v>71000</v>
      </c>
    </row>
    <row r="8" spans="1:24" ht="22" x14ac:dyDescent="0.35">
      <c r="A8" s="3">
        <v>2</v>
      </c>
      <c r="B8" s="3" t="s">
        <v>27</v>
      </c>
      <c r="C8" s="9">
        <v>42793.333333333299</v>
      </c>
      <c r="D8" s="9">
        <v>42793.708333333299</v>
      </c>
      <c r="E8" s="12" t="s">
        <v>29</v>
      </c>
      <c r="F8" s="12"/>
      <c r="G8" s="10">
        <v>0</v>
      </c>
      <c r="H8" s="10">
        <v>0</v>
      </c>
      <c r="I8" s="10">
        <v>1875</v>
      </c>
      <c r="J8" s="10">
        <v>15000</v>
      </c>
      <c r="K8" s="10">
        <v>15000</v>
      </c>
      <c r="L8" s="8">
        <v>42793</v>
      </c>
      <c r="M8" s="3" t="s">
        <v>146</v>
      </c>
      <c r="N8" s="10">
        <v>570000</v>
      </c>
      <c r="O8" s="10">
        <v>0</v>
      </c>
      <c r="P8" s="12" t="s">
        <v>138</v>
      </c>
      <c r="Q8" s="10">
        <v>-553600</v>
      </c>
      <c r="R8" s="14">
        <v>0</v>
      </c>
      <c r="S8" s="11">
        <v>16400</v>
      </c>
      <c r="T8" s="10">
        <v>0</v>
      </c>
      <c r="U8" s="15">
        <v>1</v>
      </c>
      <c r="V8" s="12" t="s">
        <v>147</v>
      </c>
      <c r="W8" s="10">
        <v>15000</v>
      </c>
      <c r="X8" s="10">
        <v>15000</v>
      </c>
    </row>
    <row r="9" spans="1:24" ht="32.5" x14ac:dyDescent="0.35">
      <c r="A9" s="3">
        <v>3</v>
      </c>
      <c r="B9" s="3" t="s">
        <v>30</v>
      </c>
      <c r="C9" s="9">
        <v>42793.333333333299</v>
      </c>
      <c r="D9" s="9">
        <v>42821.708333333299</v>
      </c>
      <c r="E9" s="12" t="s">
        <v>26</v>
      </c>
      <c r="F9" s="12"/>
      <c r="G9" s="10">
        <v>0</v>
      </c>
      <c r="H9" s="10">
        <v>0</v>
      </c>
      <c r="I9" s="10">
        <v>333.33333333333297</v>
      </c>
      <c r="J9" s="10">
        <v>56000</v>
      </c>
      <c r="K9" s="10">
        <v>56000</v>
      </c>
      <c r="L9" s="8">
        <v>42793</v>
      </c>
      <c r="M9" s="3" t="s">
        <v>146</v>
      </c>
      <c r="N9" s="10">
        <v>101333.33333333299</v>
      </c>
      <c r="O9" s="10">
        <v>0</v>
      </c>
      <c r="P9" s="12" t="s">
        <v>138</v>
      </c>
      <c r="Q9" s="10">
        <v>-48663.333333333299</v>
      </c>
      <c r="R9" s="14">
        <v>0</v>
      </c>
      <c r="S9" s="11">
        <v>52670</v>
      </c>
      <c r="T9" s="10">
        <v>0</v>
      </c>
      <c r="U9" s="15">
        <v>1</v>
      </c>
      <c r="V9" s="12" t="s">
        <v>147</v>
      </c>
      <c r="W9" s="10">
        <v>56000</v>
      </c>
      <c r="X9" s="10">
        <v>56000</v>
      </c>
    </row>
    <row r="10" spans="1:24" x14ac:dyDescent="0.35">
      <c r="A10" s="4">
        <v>27</v>
      </c>
      <c r="B10" s="4" t="s">
        <v>32</v>
      </c>
      <c r="C10" s="5">
        <v>42922.333333333299</v>
      </c>
      <c r="D10" s="5">
        <v>42950.708333333299</v>
      </c>
      <c r="E10" s="2" t="s">
        <v>26</v>
      </c>
      <c r="F10" s="2"/>
      <c r="G10" s="6"/>
      <c r="H10" s="6">
        <v>0</v>
      </c>
      <c r="I10" s="6"/>
      <c r="J10" s="6"/>
      <c r="K10" s="6">
        <v>60000</v>
      </c>
      <c r="L10" s="2"/>
      <c r="M10" s="2" t="s">
        <v>138</v>
      </c>
      <c r="N10" s="6"/>
      <c r="O10" s="6"/>
      <c r="P10" s="2"/>
      <c r="Q10" s="6"/>
      <c r="R10" s="6"/>
      <c r="S10" s="6">
        <v>0</v>
      </c>
      <c r="T10" s="6"/>
      <c r="U10" s="13">
        <v>0</v>
      </c>
      <c r="V10" s="2"/>
      <c r="W10" s="6">
        <v>0</v>
      </c>
      <c r="X10" s="6">
        <v>0</v>
      </c>
    </row>
    <row r="11" spans="1:24" ht="22" x14ac:dyDescent="0.35">
      <c r="A11" s="3">
        <v>4</v>
      </c>
      <c r="B11" s="3" t="s">
        <v>34</v>
      </c>
      <c r="C11" s="9">
        <v>42922.333333333299</v>
      </c>
      <c r="D11" s="9">
        <v>42922.708333333299</v>
      </c>
      <c r="E11" s="12" t="s">
        <v>29</v>
      </c>
      <c r="F11" s="12"/>
      <c r="G11" s="10">
        <v>0</v>
      </c>
      <c r="H11" s="10">
        <v>0</v>
      </c>
      <c r="I11" s="10">
        <v>1875</v>
      </c>
      <c r="J11" s="10">
        <v>15000</v>
      </c>
      <c r="K11" s="10">
        <v>15000</v>
      </c>
      <c r="L11" s="3"/>
      <c r="M11" s="3" t="s">
        <v>138</v>
      </c>
      <c r="N11" s="10">
        <v>0</v>
      </c>
      <c r="O11" s="10">
        <v>15000</v>
      </c>
      <c r="P11" s="12" t="s">
        <v>29</v>
      </c>
      <c r="Q11" s="10">
        <v>0</v>
      </c>
      <c r="R11" s="14">
        <v>0</v>
      </c>
      <c r="S11" s="11">
        <v>0</v>
      </c>
      <c r="T11" s="10">
        <v>15000</v>
      </c>
      <c r="U11" s="15">
        <v>0</v>
      </c>
      <c r="V11" s="12" t="s">
        <v>139</v>
      </c>
      <c r="W11" s="10">
        <v>0</v>
      </c>
      <c r="X11" s="10">
        <v>0</v>
      </c>
    </row>
    <row r="12" spans="1:24" ht="32.5" x14ac:dyDescent="0.35">
      <c r="A12" s="3">
        <v>5</v>
      </c>
      <c r="B12" s="3" t="s">
        <v>36</v>
      </c>
      <c r="C12" s="9">
        <v>42922.333333333299</v>
      </c>
      <c r="D12" s="9">
        <v>42950.708333333299</v>
      </c>
      <c r="E12" s="12" t="s">
        <v>26</v>
      </c>
      <c r="F12" s="12"/>
      <c r="G12" s="10">
        <v>0</v>
      </c>
      <c r="H12" s="10">
        <v>0</v>
      </c>
      <c r="I12" s="10">
        <v>267.857142857143</v>
      </c>
      <c r="J12" s="10">
        <v>45000</v>
      </c>
      <c r="K12" s="10">
        <v>45000</v>
      </c>
      <c r="L12" s="3"/>
      <c r="M12" s="3" t="s">
        <v>138</v>
      </c>
      <c r="N12" s="10">
        <v>0</v>
      </c>
      <c r="O12" s="10">
        <v>45000</v>
      </c>
      <c r="P12" s="12" t="s">
        <v>26</v>
      </c>
      <c r="Q12" s="10">
        <v>0</v>
      </c>
      <c r="R12" s="14">
        <v>0</v>
      </c>
      <c r="S12" s="11">
        <v>0</v>
      </c>
      <c r="T12" s="10">
        <v>45000</v>
      </c>
      <c r="U12" s="15">
        <v>0</v>
      </c>
      <c r="V12" s="12" t="s">
        <v>139</v>
      </c>
      <c r="W12" s="10">
        <v>0</v>
      </c>
      <c r="X12" s="10">
        <v>0</v>
      </c>
    </row>
    <row r="13" spans="1:24" ht="22" x14ac:dyDescent="0.35">
      <c r="A13" s="3">
        <v>6</v>
      </c>
      <c r="B13" s="3" t="s">
        <v>38</v>
      </c>
      <c r="C13" s="9">
        <v>42821.333333333299</v>
      </c>
      <c r="D13" s="9">
        <v>43031.708333333299</v>
      </c>
      <c r="E13" s="12" t="s">
        <v>40</v>
      </c>
      <c r="F13" s="12"/>
      <c r="G13" s="10">
        <v>0</v>
      </c>
      <c r="H13" s="10">
        <v>0</v>
      </c>
      <c r="I13" s="10">
        <v>48.013245033112597</v>
      </c>
      <c r="J13" s="10">
        <v>58000</v>
      </c>
      <c r="K13" s="10">
        <v>58000</v>
      </c>
      <c r="L13" s="8">
        <v>42821</v>
      </c>
      <c r="M13" s="3" t="s">
        <v>148</v>
      </c>
      <c r="N13" s="10">
        <v>6913.90728476821</v>
      </c>
      <c r="O13" s="10">
        <v>50701.9867549669</v>
      </c>
      <c r="P13" s="12" t="s">
        <v>149</v>
      </c>
      <c r="Q13" s="10">
        <v>-673.90728476821198</v>
      </c>
      <c r="R13" s="14">
        <v>0</v>
      </c>
      <c r="S13" s="11">
        <v>6240</v>
      </c>
      <c r="T13" s="10">
        <v>50701.9867549669</v>
      </c>
      <c r="U13" s="15">
        <v>0.12</v>
      </c>
      <c r="V13" s="12" t="s">
        <v>137</v>
      </c>
      <c r="W13" s="10">
        <v>6960</v>
      </c>
      <c r="X13" s="10">
        <v>6913.90728476821</v>
      </c>
    </row>
    <row r="14" spans="1:24" ht="22" x14ac:dyDescent="0.35">
      <c r="A14" s="3">
        <v>7</v>
      </c>
      <c r="B14" s="3" t="s">
        <v>41</v>
      </c>
      <c r="C14" s="9">
        <v>42821.333333333299</v>
      </c>
      <c r="D14" s="9">
        <v>43038.708333333299</v>
      </c>
      <c r="E14" s="12" t="s">
        <v>43</v>
      </c>
      <c r="F14" s="12"/>
      <c r="G14" s="10">
        <v>0</v>
      </c>
      <c r="H14" s="10">
        <v>0</v>
      </c>
      <c r="I14" s="10">
        <v>17.628205128205099</v>
      </c>
      <c r="J14" s="10">
        <v>22000</v>
      </c>
      <c r="K14" s="10">
        <v>22000</v>
      </c>
      <c r="L14" s="8">
        <v>42821</v>
      </c>
      <c r="M14" s="3" t="s">
        <v>148</v>
      </c>
      <c r="N14" s="10">
        <v>2538.4615384615399</v>
      </c>
      <c r="O14" s="10">
        <v>7544.8717948717904</v>
      </c>
      <c r="P14" s="12" t="s">
        <v>150</v>
      </c>
      <c r="Q14" s="10">
        <v>3376.5044479330199</v>
      </c>
      <c r="R14" s="14">
        <v>0</v>
      </c>
      <c r="S14" s="11">
        <v>5914.9659863945599</v>
      </c>
      <c r="T14" s="10">
        <v>7544.8717948717904</v>
      </c>
      <c r="U14" s="15">
        <v>0.25170068027210901</v>
      </c>
      <c r="V14" s="12" t="s">
        <v>137</v>
      </c>
      <c r="W14" s="10">
        <v>5537.4149659863897</v>
      </c>
      <c r="X14" s="10">
        <v>2538.4615384615399</v>
      </c>
    </row>
    <row r="15" spans="1:24" ht="22" x14ac:dyDescent="0.35">
      <c r="A15" s="3">
        <v>8</v>
      </c>
      <c r="B15" s="3" t="s">
        <v>44</v>
      </c>
      <c r="C15" s="9">
        <v>42950.333333333299</v>
      </c>
      <c r="D15" s="9">
        <v>43112.708333333299</v>
      </c>
      <c r="E15" s="12" t="s">
        <v>46</v>
      </c>
      <c r="F15" s="12"/>
      <c r="G15" s="10">
        <v>0</v>
      </c>
      <c r="H15" s="10">
        <v>0</v>
      </c>
      <c r="I15" s="10">
        <v>58.760683760683797</v>
      </c>
      <c r="J15" s="10">
        <v>55000</v>
      </c>
      <c r="K15" s="10">
        <v>55000</v>
      </c>
      <c r="L15" s="3"/>
      <c r="M15" s="3" t="s">
        <v>138</v>
      </c>
      <c r="N15" s="10">
        <v>0</v>
      </c>
      <c r="O15" s="10">
        <v>55000</v>
      </c>
      <c r="P15" s="12" t="s">
        <v>46</v>
      </c>
      <c r="Q15" s="10">
        <v>0</v>
      </c>
      <c r="R15" s="14">
        <v>0</v>
      </c>
      <c r="S15" s="11">
        <v>0</v>
      </c>
      <c r="T15" s="10">
        <v>55000</v>
      </c>
      <c r="U15" s="15">
        <v>0</v>
      </c>
      <c r="V15" s="12" t="s">
        <v>139</v>
      </c>
      <c r="W15" s="10">
        <v>0</v>
      </c>
      <c r="X15" s="10">
        <v>0</v>
      </c>
    </row>
    <row r="16" spans="1:24" ht="22" x14ac:dyDescent="0.35">
      <c r="A16" s="3">
        <v>9</v>
      </c>
      <c r="B16" s="3" t="s">
        <v>47</v>
      </c>
      <c r="C16" s="9">
        <v>42950.333333333299</v>
      </c>
      <c r="D16" s="9">
        <v>43119.708333333299</v>
      </c>
      <c r="E16" s="12" t="s">
        <v>49</v>
      </c>
      <c r="F16" s="12"/>
      <c r="G16" s="10">
        <v>0</v>
      </c>
      <c r="H16" s="10">
        <v>0</v>
      </c>
      <c r="I16" s="10">
        <v>20.491803278688501</v>
      </c>
      <c r="J16" s="10">
        <v>20000</v>
      </c>
      <c r="K16" s="10">
        <v>20000</v>
      </c>
      <c r="L16" s="3"/>
      <c r="M16" s="3" t="s">
        <v>138</v>
      </c>
      <c r="N16" s="10">
        <v>0</v>
      </c>
      <c r="O16" s="10">
        <v>20000</v>
      </c>
      <c r="P16" s="12" t="s">
        <v>49</v>
      </c>
      <c r="Q16" s="10">
        <v>0</v>
      </c>
      <c r="R16" s="14">
        <v>0</v>
      </c>
      <c r="S16" s="11">
        <v>0</v>
      </c>
      <c r="T16" s="10">
        <v>20000</v>
      </c>
      <c r="U16" s="15">
        <v>0</v>
      </c>
      <c r="V16" s="12" t="s">
        <v>139</v>
      </c>
      <c r="W16" s="10">
        <v>0</v>
      </c>
      <c r="X16" s="10">
        <v>0</v>
      </c>
    </row>
    <row r="17" spans="1:24" ht="22" x14ac:dyDescent="0.35">
      <c r="A17" s="3">
        <v>10</v>
      </c>
      <c r="B17" s="3" t="s">
        <v>50</v>
      </c>
      <c r="C17" s="9">
        <v>42944.333333333299</v>
      </c>
      <c r="D17" s="9">
        <v>43332.708333333299</v>
      </c>
      <c r="E17" s="12" t="s">
        <v>52</v>
      </c>
      <c r="F17" s="12"/>
      <c r="G17" s="10">
        <v>0</v>
      </c>
      <c r="H17" s="10">
        <v>0</v>
      </c>
      <c r="I17" s="10">
        <v>101.534296028881</v>
      </c>
      <c r="J17" s="10">
        <v>225000</v>
      </c>
      <c r="K17" s="10">
        <v>225000</v>
      </c>
      <c r="L17" s="3"/>
      <c r="M17" s="3" t="s">
        <v>138</v>
      </c>
      <c r="N17" s="10">
        <v>0</v>
      </c>
      <c r="O17" s="10">
        <v>225000</v>
      </c>
      <c r="P17" s="12" t="s">
        <v>52</v>
      </c>
      <c r="Q17" s="10">
        <v>0</v>
      </c>
      <c r="R17" s="14">
        <v>0</v>
      </c>
      <c r="S17" s="11">
        <v>0</v>
      </c>
      <c r="T17" s="10">
        <v>225000</v>
      </c>
      <c r="U17" s="15">
        <v>0</v>
      </c>
      <c r="V17" s="12" t="s">
        <v>139</v>
      </c>
      <c r="W17" s="10">
        <v>0</v>
      </c>
      <c r="X17" s="10">
        <v>0</v>
      </c>
    </row>
    <row r="18" spans="1:24" ht="22" x14ac:dyDescent="0.35">
      <c r="A18" s="3">
        <v>11</v>
      </c>
      <c r="B18" s="3" t="s">
        <v>53</v>
      </c>
      <c r="C18" s="9">
        <v>43031.333333333299</v>
      </c>
      <c r="D18" s="9">
        <v>43168.708333333299</v>
      </c>
      <c r="E18" s="12" t="s">
        <v>55</v>
      </c>
      <c r="F18" s="12"/>
      <c r="G18" s="10">
        <v>0</v>
      </c>
      <c r="H18" s="10">
        <v>0</v>
      </c>
      <c r="I18" s="10">
        <v>10</v>
      </c>
      <c r="J18" s="10">
        <v>8000</v>
      </c>
      <c r="K18" s="10">
        <v>8000</v>
      </c>
      <c r="L18" s="3"/>
      <c r="M18" s="3" t="s">
        <v>138</v>
      </c>
      <c r="N18" s="10">
        <v>0</v>
      </c>
      <c r="O18" s="10">
        <v>8000</v>
      </c>
      <c r="P18" s="12" t="s">
        <v>55</v>
      </c>
      <c r="Q18" s="10">
        <v>0</v>
      </c>
      <c r="R18" s="14">
        <v>0</v>
      </c>
      <c r="S18" s="11">
        <v>0</v>
      </c>
      <c r="T18" s="10">
        <v>8000</v>
      </c>
      <c r="U18" s="15">
        <v>0</v>
      </c>
      <c r="V18" s="12" t="s">
        <v>139</v>
      </c>
      <c r="W18" s="10">
        <v>0</v>
      </c>
      <c r="X18" s="10">
        <v>0</v>
      </c>
    </row>
    <row r="19" spans="1:24" ht="32.5" x14ac:dyDescent="0.35">
      <c r="A19" s="3">
        <v>12</v>
      </c>
      <c r="B19" s="3" t="s">
        <v>56</v>
      </c>
      <c r="C19" s="9">
        <v>43031.333333333299</v>
      </c>
      <c r="D19" s="9">
        <v>43168.708333333299</v>
      </c>
      <c r="E19" s="12" t="s">
        <v>55</v>
      </c>
      <c r="F19" s="12"/>
      <c r="G19" s="10">
        <v>0</v>
      </c>
      <c r="H19" s="10">
        <v>0</v>
      </c>
      <c r="I19" s="10">
        <v>43.75</v>
      </c>
      <c r="J19" s="10">
        <v>35000</v>
      </c>
      <c r="K19" s="10">
        <v>35000</v>
      </c>
      <c r="L19" s="3"/>
      <c r="M19" s="3" t="s">
        <v>138</v>
      </c>
      <c r="N19" s="10">
        <v>0</v>
      </c>
      <c r="O19" s="10">
        <v>35000</v>
      </c>
      <c r="P19" s="12" t="s">
        <v>55</v>
      </c>
      <c r="Q19" s="10">
        <v>0</v>
      </c>
      <c r="R19" s="14">
        <v>0</v>
      </c>
      <c r="S19" s="11">
        <v>0</v>
      </c>
      <c r="T19" s="10">
        <v>35000</v>
      </c>
      <c r="U19" s="15">
        <v>0</v>
      </c>
      <c r="V19" s="12" t="s">
        <v>139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58</v>
      </c>
      <c r="C20" s="9">
        <v>42968.333333333299</v>
      </c>
      <c r="D20" s="9">
        <v>43182.708333333299</v>
      </c>
      <c r="E20" s="12" t="s">
        <v>60</v>
      </c>
      <c r="F20" s="12"/>
      <c r="G20" s="10">
        <v>0</v>
      </c>
      <c r="H20" s="10">
        <v>0</v>
      </c>
      <c r="I20" s="10">
        <v>278.22580645161298</v>
      </c>
      <c r="J20" s="10">
        <v>345000</v>
      </c>
      <c r="K20" s="10">
        <v>345000</v>
      </c>
      <c r="L20" s="3"/>
      <c r="M20" s="3" t="s">
        <v>138</v>
      </c>
      <c r="N20" s="10">
        <v>0</v>
      </c>
      <c r="O20" s="10">
        <v>345000</v>
      </c>
      <c r="P20" s="12" t="s">
        <v>60</v>
      </c>
      <c r="Q20" s="10">
        <v>0</v>
      </c>
      <c r="R20" s="14">
        <v>0</v>
      </c>
      <c r="S20" s="11">
        <v>0</v>
      </c>
      <c r="T20" s="10">
        <v>345000</v>
      </c>
      <c r="U20" s="15">
        <v>0</v>
      </c>
      <c r="V20" s="12" t="s">
        <v>139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61</v>
      </c>
      <c r="C21" s="9">
        <v>42968.333333333299</v>
      </c>
      <c r="D21" s="9">
        <v>43179.708333333299</v>
      </c>
      <c r="E21" s="12" t="s">
        <v>63</v>
      </c>
      <c r="F21" s="12"/>
      <c r="G21" s="10">
        <v>0</v>
      </c>
      <c r="H21" s="10">
        <v>0</v>
      </c>
      <c r="I21" s="10">
        <v>37.006578947368403</v>
      </c>
      <c r="J21" s="10">
        <v>45000</v>
      </c>
      <c r="K21" s="10">
        <v>45000</v>
      </c>
      <c r="L21" s="3"/>
      <c r="M21" s="3" t="s">
        <v>138</v>
      </c>
      <c r="N21" s="10">
        <v>0</v>
      </c>
      <c r="O21" s="10">
        <v>45000</v>
      </c>
      <c r="P21" s="12" t="s">
        <v>63</v>
      </c>
      <c r="Q21" s="10">
        <v>0</v>
      </c>
      <c r="R21" s="14">
        <v>0</v>
      </c>
      <c r="S21" s="11">
        <v>0</v>
      </c>
      <c r="T21" s="10">
        <v>45000</v>
      </c>
      <c r="U21" s="15">
        <v>0</v>
      </c>
      <c r="V21" s="12" t="s">
        <v>139</v>
      </c>
      <c r="W21" s="10">
        <v>0</v>
      </c>
      <c r="X21" s="10">
        <v>0</v>
      </c>
    </row>
    <row r="22" spans="1:24" ht="22" x14ac:dyDescent="0.35">
      <c r="A22" s="3">
        <v>15</v>
      </c>
      <c r="B22" s="3" t="s">
        <v>64</v>
      </c>
      <c r="C22" s="9">
        <v>43003.333333333299</v>
      </c>
      <c r="D22" s="9">
        <v>43179.708333333299</v>
      </c>
      <c r="E22" s="12" t="s">
        <v>66</v>
      </c>
      <c r="F22" s="12"/>
      <c r="G22" s="10">
        <v>0</v>
      </c>
      <c r="H22" s="10">
        <v>0</v>
      </c>
      <c r="I22" s="10">
        <v>8.8582677165354298</v>
      </c>
      <c r="J22" s="10">
        <v>9000</v>
      </c>
      <c r="K22" s="10">
        <v>9000</v>
      </c>
      <c r="L22" s="3"/>
      <c r="M22" s="3" t="s">
        <v>138</v>
      </c>
      <c r="N22" s="10">
        <v>0</v>
      </c>
      <c r="O22" s="10">
        <v>9000</v>
      </c>
      <c r="P22" s="12" t="s">
        <v>66</v>
      </c>
      <c r="Q22" s="10">
        <v>0</v>
      </c>
      <c r="R22" s="14">
        <v>0</v>
      </c>
      <c r="S22" s="11">
        <v>0</v>
      </c>
      <c r="T22" s="10">
        <v>9000</v>
      </c>
      <c r="U22" s="15">
        <v>0</v>
      </c>
      <c r="V22" s="12" t="s">
        <v>139</v>
      </c>
      <c r="W22" s="10">
        <v>0</v>
      </c>
      <c r="X22" s="10">
        <v>0</v>
      </c>
    </row>
    <row r="23" spans="1:24" x14ac:dyDescent="0.35">
      <c r="A23" s="3">
        <v>16</v>
      </c>
      <c r="B23" s="3" t="s">
        <v>67</v>
      </c>
      <c r="C23" s="9">
        <v>43003.333333333299</v>
      </c>
      <c r="D23" s="9">
        <v>43297.708333333299</v>
      </c>
      <c r="E23" s="12" t="s">
        <v>69</v>
      </c>
      <c r="F23" s="12"/>
      <c r="G23" s="10">
        <v>0</v>
      </c>
      <c r="H23" s="10">
        <v>0</v>
      </c>
      <c r="I23" s="10">
        <v>52.725118483412302</v>
      </c>
      <c r="J23" s="10">
        <v>89000</v>
      </c>
      <c r="K23" s="10">
        <v>89000</v>
      </c>
      <c r="L23" s="3"/>
      <c r="M23" s="3" t="s">
        <v>138</v>
      </c>
      <c r="N23" s="10">
        <v>0</v>
      </c>
      <c r="O23" s="10">
        <v>89000</v>
      </c>
      <c r="P23" s="12" t="s">
        <v>69</v>
      </c>
      <c r="Q23" s="10">
        <v>0</v>
      </c>
      <c r="R23" s="14">
        <v>0</v>
      </c>
      <c r="S23" s="11">
        <v>0</v>
      </c>
      <c r="T23" s="10">
        <v>89000</v>
      </c>
      <c r="U23" s="15">
        <v>0</v>
      </c>
      <c r="V23" s="12" t="s">
        <v>139</v>
      </c>
      <c r="W23" s="10">
        <v>0</v>
      </c>
      <c r="X23" s="10">
        <v>0</v>
      </c>
    </row>
    <row r="24" spans="1:24" ht="22" x14ac:dyDescent="0.35">
      <c r="A24" s="3">
        <v>17</v>
      </c>
      <c r="B24" s="3" t="s">
        <v>70</v>
      </c>
      <c r="C24" s="9">
        <v>43003.333333333299</v>
      </c>
      <c r="D24" s="9">
        <v>43147.708333333299</v>
      </c>
      <c r="E24" s="12" t="s">
        <v>72</v>
      </c>
      <c r="F24" s="12"/>
      <c r="G24" s="10">
        <v>0</v>
      </c>
      <c r="H24" s="10">
        <v>0</v>
      </c>
      <c r="I24" s="10">
        <v>59.523809523809497</v>
      </c>
      <c r="J24" s="10">
        <v>50000</v>
      </c>
      <c r="K24" s="10">
        <v>50000</v>
      </c>
      <c r="L24" s="3"/>
      <c r="M24" s="3" t="s">
        <v>138</v>
      </c>
      <c r="N24" s="10">
        <v>0</v>
      </c>
      <c r="O24" s="10">
        <v>50000</v>
      </c>
      <c r="P24" s="12" t="s">
        <v>72</v>
      </c>
      <c r="Q24" s="10">
        <v>0</v>
      </c>
      <c r="R24" s="14">
        <v>0</v>
      </c>
      <c r="S24" s="11">
        <v>0</v>
      </c>
      <c r="T24" s="10">
        <v>50000</v>
      </c>
      <c r="U24" s="15">
        <v>0</v>
      </c>
      <c r="V24" s="12" t="s">
        <v>139</v>
      </c>
      <c r="W24" s="10">
        <v>0</v>
      </c>
      <c r="X24" s="10">
        <v>0</v>
      </c>
    </row>
    <row r="25" spans="1:24" ht="22" x14ac:dyDescent="0.35">
      <c r="A25" s="3">
        <v>18</v>
      </c>
      <c r="B25" s="3" t="s">
        <v>73</v>
      </c>
      <c r="C25" s="9">
        <v>43003.333333333299</v>
      </c>
      <c r="D25" s="9">
        <v>43147.708333333299</v>
      </c>
      <c r="E25" s="12" t="s">
        <v>72</v>
      </c>
      <c r="F25" s="12"/>
      <c r="G25" s="10">
        <v>0</v>
      </c>
      <c r="H25" s="10">
        <v>0</v>
      </c>
      <c r="I25" s="10">
        <v>35.714285714285701</v>
      </c>
      <c r="J25" s="10">
        <v>30000</v>
      </c>
      <c r="K25" s="10">
        <v>30000</v>
      </c>
      <c r="L25" s="3"/>
      <c r="M25" s="3" t="s">
        <v>138</v>
      </c>
      <c r="N25" s="10">
        <v>0</v>
      </c>
      <c r="O25" s="10">
        <v>30000</v>
      </c>
      <c r="P25" s="12" t="s">
        <v>72</v>
      </c>
      <c r="Q25" s="10">
        <v>0</v>
      </c>
      <c r="R25" s="14">
        <v>0</v>
      </c>
      <c r="S25" s="11">
        <v>0</v>
      </c>
      <c r="T25" s="10">
        <v>30000</v>
      </c>
      <c r="U25" s="15">
        <v>0</v>
      </c>
      <c r="V25" s="12" t="s">
        <v>139</v>
      </c>
      <c r="W25" s="10">
        <v>0</v>
      </c>
      <c r="X25" s="10">
        <v>0</v>
      </c>
    </row>
    <row r="26" spans="1:24" ht="22" x14ac:dyDescent="0.35">
      <c r="A26" s="3">
        <v>19</v>
      </c>
      <c r="B26" s="3" t="s">
        <v>75</v>
      </c>
      <c r="C26" s="9">
        <v>43059.333333333299</v>
      </c>
      <c r="D26" s="9">
        <v>43238.708333333299</v>
      </c>
      <c r="E26" s="12" t="s">
        <v>77</v>
      </c>
      <c r="F26" s="12"/>
      <c r="G26" s="10">
        <v>0</v>
      </c>
      <c r="H26" s="10">
        <v>0</v>
      </c>
      <c r="I26" s="10">
        <v>38.461538461538503</v>
      </c>
      <c r="J26" s="10">
        <v>40000</v>
      </c>
      <c r="K26" s="10">
        <v>40000</v>
      </c>
      <c r="L26" s="3"/>
      <c r="M26" s="3" t="s">
        <v>138</v>
      </c>
      <c r="N26" s="10">
        <v>0</v>
      </c>
      <c r="O26" s="10">
        <v>40000</v>
      </c>
      <c r="P26" s="12" t="s">
        <v>77</v>
      </c>
      <c r="Q26" s="10">
        <v>0</v>
      </c>
      <c r="R26" s="14">
        <v>0</v>
      </c>
      <c r="S26" s="11">
        <v>0</v>
      </c>
      <c r="T26" s="10">
        <v>40000</v>
      </c>
      <c r="U26" s="15">
        <v>0</v>
      </c>
      <c r="V26" s="12" t="s">
        <v>139</v>
      </c>
      <c r="W26" s="10">
        <v>0</v>
      </c>
      <c r="X26" s="10">
        <v>0</v>
      </c>
    </row>
    <row r="27" spans="1:24" x14ac:dyDescent="0.35">
      <c r="A27" s="3">
        <v>20</v>
      </c>
      <c r="B27" s="3" t="s">
        <v>78</v>
      </c>
      <c r="C27" s="9">
        <v>43045.333333333299</v>
      </c>
      <c r="D27" s="9">
        <v>43070.708333333299</v>
      </c>
      <c r="E27" s="12" t="s">
        <v>80</v>
      </c>
      <c r="F27" s="12"/>
      <c r="G27" s="10">
        <v>0</v>
      </c>
      <c r="H27" s="10">
        <v>0</v>
      </c>
      <c r="I27" s="10">
        <v>156.25</v>
      </c>
      <c r="J27" s="10">
        <v>25000</v>
      </c>
      <c r="K27" s="10">
        <v>25000</v>
      </c>
      <c r="L27" s="3"/>
      <c r="M27" s="3" t="s">
        <v>138</v>
      </c>
      <c r="N27" s="10">
        <v>0</v>
      </c>
      <c r="O27" s="10">
        <v>25000</v>
      </c>
      <c r="P27" s="12" t="s">
        <v>80</v>
      </c>
      <c r="Q27" s="10">
        <v>0</v>
      </c>
      <c r="R27" s="14">
        <v>0</v>
      </c>
      <c r="S27" s="11">
        <v>0</v>
      </c>
      <c r="T27" s="10">
        <v>25000</v>
      </c>
      <c r="U27" s="15">
        <v>0</v>
      </c>
      <c r="V27" s="12" t="s">
        <v>139</v>
      </c>
      <c r="W27" s="10">
        <v>0</v>
      </c>
      <c r="X27" s="10">
        <v>0</v>
      </c>
    </row>
    <row r="28" spans="1:24" x14ac:dyDescent="0.35">
      <c r="A28" s="3">
        <v>21</v>
      </c>
      <c r="B28" s="3" t="s">
        <v>81</v>
      </c>
      <c r="C28" s="9">
        <v>43119.333333333299</v>
      </c>
      <c r="D28" s="9">
        <v>43207.708333333299</v>
      </c>
      <c r="E28" s="12" t="s">
        <v>83</v>
      </c>
      <c r="F28" s="12"/>
      <c r="G28" s="10">
        <v>0</v>
      </c>
      <c r="H28" s="10">
        <v>0</v>
      </c>
      <c r="I28" s="10">
        <v>49.603174603174601</v>
      </c>
      <c r="J28" s="10">
        <v>25000</v>
      </c>
      <c r="K28" s="10">
        <v>25000</v>
      </c>
      <c r="L28" s="3"/>
      <c r="M28" s="3" t="s">
        <v>138</v>
      </c>
      <c r="N28" s="10">
        <v>0</v>
      </c>
      <c r="O28" s="10">
        <v>25000</v>
      </c>
      <c r="P28" s="12" t="s">
        <v>83</v>
      </c>
      <c r="Q28" s="10">
        <v>0</v>
      </c>
      <c r="R28" s="14">
        <v>0</v>
      </c>
      <c r="S28" s="11">
        <v>0</v>
      </c>
      <c r="T28" s="10">
        <v>25000</v>
      </c>
      <c r="U28" s="15">
        <v>0</v>
      </c>
      <c r="V28" s="12" t="s">
        <v>139</v>
      </c>
      <c r="W28" s="10">
        <v>0</v>
      </c>
      <c r="X28" s="10">
        <v>0</v>
      </c>
    </row>
    <row r="29" spans="1:24" ht="22" x14ac:dyDescent="0.35">
      <c r="A29" s="3">
        <v>22</v>
      </c>
      <c r="B29" s="3" t="s">
        <v>84</v>
      </c>
      <c r="C29" s="9">
        <v>43070.333333333299</v>
      </c>
      <c r="D29" s="9">
        <v>43098.708333333299</v>
      </c>
      <c r="E29" s="12" t="s">
        <v>26</v>
      </c>
      <c r="F29" s="12"/>
      <c r="G29" s="10">
        <v>0</v>
      </c>
      <c r="H29" s="10">
        <v>0</v>
      </c>
      <c r="I29" s="10">
        <v>107.142857142857</v>
      </c>
      <c r="J29" s="10">
        <v>18000</v>
      </c>
      <c r="K29" s="10">
        <v>18000</v>
      </c>
      <c r="L29" s="3"/>
      <c r="M29" s="3" t="s">
        <v>138</v>
      </c>
      <c r="N29" s="10">
        <v>0</v>
      </c>
      <c r="O29" s="10">
        <v>18000</v>
      </c>
      <c r="P29" s="12" t="s">
        <v>26</v>
      </c>
      <c r="Q29" s="10">
        <v>0</v>
      </c>
      <c r="R29" s="14">
        <v>0</v>
      </c>
      <c r="S29" s="11">
        <v>0</v>
      </c>
      <c r="T29" s="10">
        <v>18000</v>
      </c>
      <c r="U29" s="15">
        <v>0</v>
      </c>
      <c r="V29" s="12" t="s">
        <v>139</v>
      </c>
      <c r="W29" s="10">
        <v>0</v>
      </c>
      <c r="X29" s="10">
        <v>0</v>
      </c>
    </row>
    <row r="30" spans="1:24" ht="22" x14ac:dyDescent="0.35">
      <c r="A30" s="3">
        <v>23</v>
      </c>
      <c r="B30" s="3" t="s">
        <v>86</v>
      </c>
      <c r="C30" s="9">
        <v>43332.333333333299</v>
      </c>
      <c r="D30" s="9">
        <v>43343.708333333299</v>
      </c>
      <c r="E30" s="12" t="s">
        <v>88</v>
      </c>
      <c r="F30" s="12"/>
      <c r="G30" s="10">
        <v>0</v>
      </c>
      <c r="H30" s="10">
        <v>0</v>
      </c>
      <c r="I30" s="10">
        <v>1562.5</v>
      </c>
      <c r="J30" s="10">
        <v>125000</v>
      </c>
      <c r="K30" s="10">
        <v>125000</v>
      </c>
      <c r="L30" s="3"/>
      <c r="M30" s="3" t="s">
        <v>138</v>
      </c>
      <c r="N30" s="10">
        <v>0</v>
      </c>
      <c r="O30" s="10">
        <v>125000</v>
      </c>
      <c r="P30" s="12" t="s">
        <v>88</v>
      </c>
      <c r="Q30" s="10">
        <v>0</v>
      </c>
      <c r="R30" s="14">
        <v>0</v>
      </c>
      <c r="S30" s="11">
        <v>0</v>
      </c>
      <c r="T30" s="10">
        <v>125000</v>
      </c>
      <c r="U30" s="15">
        <v>0</v>
      </c>
      <c r="V30" s="12" t="s">
        <v>139</v>
      </c>
      <c r="W30" s="10">
        <v>0</v>
      </c>
      <c r="X30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30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119</v>
      </c>
      <c r="C1" s="8">
        <v>42951.708333333299</v>
      </c>
      <c r="E1" s="1" t="s">
        <v>120</v>
      </c>
      <c r="F1" s="4" t="s">
        <v>151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121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122</v>
      </c>
      <c r="M4" s="1" t="s">
        <v>123</v>
      </c>
      <c r="N4" s="1" t="s">
        <v>124</v>
      </c>
      <c r="O4" s="1" t="s">
        <v>125</v>
      </c>
      <c r="P4" s="1" t="s">
        <v>126</v>
      </c>
      <c r="Q4" s="1" t="s">
        <v>127</v>
      </c>
      <c r="R4" s="1" t="s">
        <v>128</v>
      </c>
      <c r="S4" s="1" t="s">
        <v>129</v>
      </c>
      <c r="T4" s="1" t="s">
        <v>130</v>
      </c>
      <c r="U4" s="1" t="s">
        <v>131</v>
      </c>
      <c r="V4" s="1" t="s">
        <v>121</v>
      </c>
      <c r="W4" s="1" t="s">
        <v>132</v>
      </c>
      <c r="X4" s="1" t="s">
        <v>133</v>
      </c>
    </row>
    <row r="5" spans="1:24" ht="22" x14ac:dyDescent="0.35">
      <c r="A5" s="2">
        <v>0</v>
      </c>
      <c r="B5" s="3" t="s">
        <v>18</v>
      </c>
      <c r="C5" s="5">
        <v>42674.333333333299</v>
      </c>
      <c r="D5" s="5">
        <v>43343.708333333299</v>
      </c>
      <c r="E5" s="2" t="s">
        <v>20</v>
      </c>
      <c r="F5" s="2"/>
      <c r="G5" s="6"/>
      <c r="H5" s="6">
        <v>0</v>
      </c>
      <c r="I5" s="6"/>
      <c r="J5" s="6"/>
      <c r="K5" s="6">
        <v>1512000</v>
      </c>
      <c r="L5" s="2"/>
      <c r="M5" s="2" t="s">
        <v>152</v>
      </c>
      <c r="N5" s="6"/>
      <c r="O5" s="6"/>
      <c r="P5" s="2"/>
      <c r="Q5" s="6"/>
      <c r="R5" s="6"/>
      <c r="S5" s="6">
        <v>236467.06925765099</v>
      </c>
      <c r="T5" s="6"/>
      <c r="U5" s="13">
        <v>0.154403201442013</v>
      </c>
      <c r="V5" s="2"/>
      <c r="W5" s="6">
        <v>233457.64058032399</v>
      </c>
      <c r="X5" s="6">
        <v>294932.96819334599</v>
      </c>
    </row>
    <row r="6" spans="1:24" x14ac:dyDescent="0.35">
      <c r="A6" s="3">
        <v>1</v>
      </c>
      <c r="B6" s="3" t="s">
        <v>21</v>
      </c>
      <c r="C6" s="9">
        <v>42674.333333333299</v>
      </c>
      <c r="D6" s="9">
        <v>43080.708333333299</v>
      </c>
      <c r="E6" s="12" t="s">
        <v>23</v>
      </c>
      <c r="F6" s="12"/>
      <c r="G6" s="10">
        <v>0</v>
      </c>
      <c r="H6" s="10">
        <v>0</v>
      </c>
      <c r="I6" s="10">
        <v>67.439862542955296</v>
      </c>
      <c r="J6" s="10">
        <v>157000</v>
      </c>
      <c r="K6" s="10">
        <v>157000</v>
      </c>
      <c r="L6" s="8">
        <v>42674</v>
      </c>
      <c r="M6" s="3" t="s">
        <v>152</v>
      </c>
      <c r="N6" s="10">
        <v>107903.780068729</v>
      </c>
      <c r="O6" s="10">
        <v>66023.6254295533</v>
      </c>
      <c r="P6" s="12" t="s">
        <v>153</v>
      </c>
      <c r="Q6" s="10">
        <v>-1150.0206702322801</v>
      </c>
      <c r="R6" s="14">
        <v>0</v>
      </c>
      <c r="S6" s="11">
        <v>106753.759398496</v>
      </c>
      <c r="T6" s="10">
        <v>66023.6254295533</v>
      </c>
      <c r="U6" s="15">
        <v>0.62030075187969902</v>
      </c>
      <c r="V6" s="12" t="s">
        <v>137</v>
      </c>
      <c r="W6" s="10">
        <v>97387.218045112793</v>
      </c>
      <c r="X6" s="10">
        <v>107903.780068729</v>
      </c>
    </row>
    <row r="7" spans="1:24" x14ac:dyDescent="0.35">
      <c r="A7" s="4">
        <v>26</v>
      </c>
      <c r="B7" s="4" t="s">
        <v>24</v>
      </c>
      <c r="C7" s="5">
        <v>42793.333333333299</v>
      </c>
      <c r="D7" s="5">
        <v>42821.708333333299</v>
      </c>
      <c r="E7" s="2" t="s">
        <v>26</v>
      </c>
      <c r="F7" s="2"/>
      <c r="G7" s="6"/>
      <c r="H7" s="6">
        <v>0</v>
      </c>
      <c r="I7" s="6"/>
      <c r="J7" s="6"/>
      <c r="K7" s="6">
        <v>71000</v>
      </c>
      <c r="L7" s="2"/>
      <c r="M7" s="2" t="s">
        <v>146</v>
      </c>
      <c r="N7" s="6"/>
      <c r="O7" s="6"/>
      <c r="P7" s="2"/>
      <c r="Q7" s="6"/>
      <c r="R7" s="6"/>
      <c r="S7" s="6">
        <v>69070</v>
      </c>
      <c r="T7" s="6"/>
      <c r="U7" s="13">
        <v>1</v>
      </c>
      <c r="V7" s="2"/>
      <c r="W7" s="6">
        <v>71000</v>
      </c>
      <c r="X7" s="6">
        <v>71000</v>
      </c>
    </row>
    <row r="8" spans="1:24" ht="22" x14ac:dyDescent="0.35">
      <c r="A8" s="3">
        <v>2</v>
      </c>
      <c r="B8" s="3" t="s">
        <v>27</v>
      </c>
      <c r="C8" s="9">
        <v>42793.333333333299</v>
      </c>
      <c r="D8" s="9">
        <v>42793.708333333299</v>
      </c>
      <c r="E8" s="12" t="s">
        <v>29</v>
      </c>
      <c r="F8" s="12"/>
      <c r="G8" s="10">
        <v>0</v>
      </c>
      <c r="H8" s="10">
        <v>0</v>
      </c>
      <c r="I8" s="10">
        <v>1875</v>
      </c>
      <c r="J8" s="10">
        <v>15000</v>
      </c>
      <c r="K8" s="10">
        <v>15000</v>
      </c>
      <c r="L8" s="8">
        <v>42793</v>
      </c>
      <c r="M8" s="3" t="s">
        <v>146</v>
      </c>
      <c r="N8" s="10">
        <v>570000</v>
      </c>
      <c r="O8" s="10">
        <v>0</v>
      </c>
      <c r="P8" s="12" t="s">
        <v>138</v>
      </c>
      <c r="Q8" s="10">
        <v>-553600</v>
      </c>
      <c r="R8" s="14">
        <v>0</v>
      </c>
      <c r="S8" s="11">
        <v>16400</v>
      </c>
      <c r="T8" s="10">
        <v>0</v>
      </c>
      <c r="U8" s="15">
        <v>1</v>
      </c>
      <c r="V8" s="12" t="s">
        <v>147</v>
      </c>
      <c r="W8" s="10">
        <v>15000</v>
      </c>
      <c r="X8" s="10">
        <v>15000</v>
      </c>
    </row>
    <row r="9" spans="1:24" ht="32.5" x14ac:dyDescent="0.35">
      <c r="A9" s="3">
        <v>3</v>
      </c>
      <c r="B9" s="3" t="s">
        <v>30</v>
      </c>
      <c r="C9" s="9">
        <v>42793.333333333299</v>
      </c>
      <c r="D9" s="9">
        <v>42821.708333333299</v>
      </c>
      <c r="E9" s="12" t="s">
        <v>26</v>
      </c>
      <c r="F9" s="12"/>
      <c r="G9" s="10">
        <v>0</v>
      </c>
      <c r="H9" s="10">
        <v>0</v>
      </c>
      <c r="I9" s="10">
        <v>333.33333333333297</v>
      </c>
      <c r="J9" s="10">
        <v>56000</v>
      </c>
      <c r="K9" s="10">
        <v>56000</v>
      </c>
      <c r="L9" s="8">
        <v>42793</v>
      </c>
      <c r="M9" s="3" t="s">
        <v>146</v>
      </c>
      <c r="N9" s="10">
        <v>101333.33333333299</v>
      </c>
      <c r="O9" s="10">
        <v>0</v>
      </c>
      <c r="P9" s="12" t="s">
        <v>138</v>
      </c>
      <c r="Q9" s="10">
        <v>-48663.333333333299</v>
      </c>
      <c r="R9" s="14">
        <v>0</v>
      </c>
      <c r="S9" s="11">
        <v>52670</v>
      </c>
      <c r="T9" s="10">
        <v>0</v>
      </c>
      <c r="U9" s="15">
        <v>1</v>
      </c>
      <c r="V9" s="12" t="s">
        <v>147</v>
      </c>
      <c r="W9" s="10">
        <v>56000</v>
      </c>
      <c r="X9" s="10">
        <v>56000</v>
      </c>
    </row>
    <row r="10" spans="1:24" x14ac:dyDescent="0.35">
      <c r="A10" s="4">
        <v>27</v>
      </c>
      <c r="B10" s="4" t="s">
        <v>32</v>
      </c>
      <c r="C10" s="5">
        <v>42922.333333333299</v>
      </c>
      <c r="D10" s="5">
        <v>42950.708333333299</v>
      </c>
      <c r="E10" s="2" t="s">
        <v>26</v>
      </c>
      <c r="F10" s="2"/>
      <c r="G10" s="6"/>
      <c r="H10" s="6">
        <v>0</v>
      </c>
      <c r="I10" s="6"/>
      <c r="J10" s="6"/>
      <c r="K10" s="6">
        <v>60000</v>
      </c>
      <c r="L10" s="2"/>
      <c r="M10" s="2" t="s">
        <v>154</v>
      </c>
      <c r="N10" s="6"/>
      <c r="O10" s="6"/>
      <c r="P10" s="2"/>
      <c r="Q10" s="6"/>
      <c r="R10" s="6"/>
      <c r="S10" s="6">
        <v>43050</v>
      </c>
      <c r="T10" s="6"/>
      <c r="U10" s="13">
        <v>0.77500000000000002</v>
      </c>
      <c r="V10" s="2"/>
      <c r="W10" s="6">
        <v>46500</v>
      </c>
      <c r="X10" s="6">
        <v>60000</v>
      </c>
    </row>
    <row r="11" spans="1:24" ht="22" x14ac:dyDescent="0.35">
      <c r="A11" s="3">
        <v>4</v>
      </c>
      <c r="B11" s="3" t="s">
        <v>34</v>
      </c>
      <c r="C11" s="9">
        <v>42922.333333333299</v>
      </c>
      <c r="D11" s="9">
        <v>42922.708333333299</v>
      </c>
      <c r="E11" s="12" t="s">
        <v>29</v>
      </c>
      <c r="F11" s="12"/>
      <c r="G11" s="10">
        <v>0</v>
      </c>
      <c r="H11" s="10">
        <v>0</v>
      </c>
      <c r="I11" s="10">
        <v>1875</v>
      </c>
      <c r="J11" s="10">
        <v>15000</v>
      </c>
      <c r="K11" s="10">
        <v>15000</v>
      </c>
      <c r="L11" s="8">
        <v>42922</v>
      </c>
      <c r="M11" s="3" t="s">
        <v>154</v>
      </c>
      <c r="N11" s="10">
        <v>330000</v>
      </c>
      <c r="O11" s="10">
        <v>0</v>
      </c>
      <c r="P11" s="12" t="s">
        <v>138</v>
      </c>
      <c r="Q11" s="10">
        <v>-315650</v>
      </c>
      <c r="R11" s="14">
        <v>0</v>
      </c>
      <c r="S11" s="11">
        <v>14350</v>
      </c>
      <c r="T11" s="10">
        <v>0</v>
      </c>
      <c r="U11" s="15">
        <v>1</v>
      </c>
      <c r="V11" s="12" t="s">
        <v>147</v>
      </c>
      <c r="W11" s="10">
        <v>15000</v>
      </c>
      <c r="X11" s="10">
        <v>15000</v>
      </c>
    </row>
    <row r="12" spans="1:24" ht="32.5" x14ac:dyDescent="0.35">
      <c r="A12" s="3">
        <v>5</v>
      </c>
      <c r="B12" s="3" t="s">
        <v>36</v>
      </c>
      <c r="C12" s="9">
        <v>42922.333333333299</v>
      </c>
      <c r="D12" s="9">
        <v>42950.708333333299</v>
      </c>
      <c r="E12" s="12" t="s">
        <v>26</v>
      </c>
      <c r="F12" s="12"/>
      <c r="G12" s="10">
        <v>0</v>
      </c>
      <c r="H12" s="10">
        <v>0</v>
      </c>
      <c r="I12" s="10">
        <v>267.857142857143</v>
      </c>
      <c r="J12" s="10">
        <v>45000</v>
      </c>
      <c r="K12" s="10">
        <v>45000</v>
      </c>
      <c r="L12" s="8">
        <v>42922</v>
      </c>
      <c r="M12" s="3" t="s">
        <v>154</v>
      </c>
      <c r="N12" s="10">
        <v>47142.857142857101</v>
      </c>
      <c r="O12" s="10">
        <v>20089.285714285699</v>
      </c>
      <c r="P12" s="12" t="s">
        <v>155</v>
      </c>
      <c r="Q12" s="10">
        <v>-18442.857142857101</v>
      </c>
      <c r="R12" s="14">
        <v>0</v>
      </c>
      <c r="S12" s="11">
        <v>28700</v>
      </c>
      <c r="T12" s="10">
        <v>20089.285714285699</v>
      </c>
      <c r="U12" s="15">
        <v>0.7</v>
      </c>
      <c r="V12" s="12" t="s">
        <v>137</v>
      </c>
      <c r="W12" s="10">
        <v>31500</v>
      </c>
      <c r="X12" s="10">
        <v>45000</v>
      </c>
    </row>
    <row r="13" spans="1:24" ht="22" x14ac:dyDescent="0.35">
      <c r="A13" s="3">
        <v>6</v>
      </c>
      <c r="B13" s="3" t="s">
        <v>38</v>
      </c>
      <c r="C13" s="9">
        <v>42821.333333333299</v>
      </c>
      <c r="D13" s="9">
        <v>43031.708333333299</v>
      </c>
      <c r="E13" s="12" t="s">
        <v>40</v>
      </c>
      <c r="F13" s="12"/>
      <c r="G13" s="10">
        <v>0</v>
      </c>
      <c r="H13" s="10">
        <v>0</v>
      </c>
      <c r="I13" s="10">
        <v>48.013245033112597</v>
      </c>
      <c r="J13" s="10">
        <v>58000</v>
      </c>
      <c r="K13" s="10">
        <v>58000</v>
      </c>
      <c r="L13" s="8">
        <v>42821</v>
      </c>
      <c r="M13" s="3" t="s">
        <v>156</v>
      </c>
      <c r="N13" s="10">
        <v>36490.066225165603</v>
      </c>
      <c r="O13" s="10">
        <v>125410.59602649001</v>
      </c>
      <c r="P13" s="12" t="s">
        <v>157</v>
      </c>
      <c r="Q13" s="10">
        <v>-24771.756366010599</v>
      </c>
      <c r="R13" s="14">
        <v>0</v>
      </c>
      <c r="S13" s="11">
        <v>11718.309859154901</v>
      </c>
      <c r="T13" s="10">
        <v>125410.59602649001</v>
      </c>
      <c r="U13" s="15">
        <v>0.22535211267605601</v>
      </c>
      <c r="V13" s="12" t="s">
        <v>137</v>
      </c>
      <c r="W13" s="10">
        <v>13070.422535211301</v>
      </c>
      <c r="X13" s="10">
        <v>36490.066225165603</v>
      </c>
    </row>
    <row r="14" spans="1:24" ht="22" x14ac:dyDescent="0.35">
      <c r="A14" s="3">
        <v>7</v>
      </c>
      <c r="B14" s="3" t="s">
        <v>41</v>
      </c>
      <c r="C14" s="9">
        <v>42821.333333333299</v>
      </c>
      <c r="D14" s="9">
        <v>43038.708333333299</v>
      </c>
      <c r="E14" s="12" t="s">
        <v>43</v>
      </c>
      <c r="F14" s="12"/>
      <c r="G14" s="10">
        <v>0</v>
      </c>
      <c r="H14" s="10">
        <v>0</v>
      </c>
      <c r="I14" s="10">
        <v>17.628205128205099</v>
      </c>
      <c r="J14" s="10">
        <v>22000</v>
      </c>
      <c r="K14" s="10">
        <v>22000</v>
      </c>
      <c r="L14" s="8">
        <v>42821</v>
      </c>
      <c r="M14" s="3" t="s">
        <v>156</v>
      </c>
      <c r="N14" s="10">
        <v>13397.4358974359</v>
      </c>
      <c r="O14" s="10">
        <v>40192.307692307702</v>
      </c>
      <c r="P14" s="12" t="s">
        <v>158</v>
      </c>
      <c r="Q14" s="10">
        <v>-7522.4358974359002</v>
      </c>
      <c r="R14" s="14">
        <v>0</v>
      </c>
      <c r="S14" s="11">
        <v>5875</v>
      </c>
      <c r="T14" s="10">
        <v>40192.307692307702</v>
      </c>
      <c r="U14" s="15">
        <v>0.25</v>
      </c>
      <c r="V14" s="12" t="s">
        <v>137</v>
      </c>
      <c r="W14" s="10">
        <v>5500</v>
      </c>
      <c r="X14" s="10">
        <v>13397.4358974359</v>
      </c>
    </row>
    <row r="15" spans="1:24" ht="22" x14ac:dyDescent="0.35">
      <c r="A15" s="3">
        <v>8</v>
      </c>
      <c r="B15" s="3" t="s">
        <v>44</v>
      </c>
      <c r="C15" s="9">
        <v>42950.333333333299</v>
      </c>
      <c r="D15" s="9">
        <v>43112.708333333299</v>
      </c>
      <c r="E15" s="12" t="s">
        <v>46</v>
      </c>
      <c r="F15" s="12"/>
      <c r="G15" s="10">
        <v>0</v>
      </c>
      <c r="H15" s="10">
        <v>0</v>
      </c>
      <c r="I15" s="10">
        <v>58.760683760683797</v>
      </c>
      <c r="J15" s="10">
        <v>55000</v>
      </c>
      <c r="K15" s="10">
        <v>55000</v>
      </c>
      <c r="L15" s="3"/>
      <c r="M15" s="3" t="s">
        <v>138</v>
      </c>
      <c r="N15" s="10">
        <v>0</v>
      </c>
      <c r="O15" s="10">
        <v>55000</v>
      </c>
      <c r="P15" s="12" t="s">
        <v>46</v>
      </c>
      <c r="Q15" s="10">
        <v>0</v>
      </c>
      <c r="R15" s="14">
        <v>0</v>
      </c>
      <c r="S15" s="11">
        <v>0</v>
      </c>
      <c r="T15" s="10">
        <v>55000</v>
      </c>
      <c r="U15" s="15">
        <v>0</v>
      </c>
      <c r="V15" s="12" t="s">
        <v>139</v>
      </c>
      <c r="W15" s="10">
        <v>0</v>
      </c>
      <c r="X15" s="10">
        <v>940.17094017093996</v>
      </c>
    </row>
    <row r="16" spans="1:24" ht="22" x14ac:dyDescent="0.35">
      <c r="A16" s="3">
        <v>9</v>
      </c>
      <c r="B16" s="3" t="s">
        <v>47</v>
      </c>
      <c r="C16" s="9">
        <v>42950.333333333299</v>
      </c>
      <c r="D16" s="9">
        <v>43119.708333333299</v>
      </c>
      <c r="E16" s="12" t="s">
        <v>49</v>
      </c>
      <c r="F16" s="12"/>
      <c r="G16" s="10">
        <v>0</v>
      </c>
      <c r="H16" s="10">
        <v>0</v>
      </c>
      <c r="I16" s="10">
        <v>20.491803278688501</v>
      </c>
      <c r="J16" s="10">
        <v>20000</v>
      </c>
      <c r="K16" s="10">
        <v>20000</v>
      </c>
      <c r="L16" s="3"/>
      <c r="M16" s="3" t="s">
        <v>138</v>
      </c>
      <c r="N16" s="10">
        <v>0</v>
      </c>
      <c r="O16" s="10">
        <v>20000</v>
      </c>
      <c r="P16" s="12" t="s">
        <v>49</v>
      </c>
      <c r="Q16" s="10">
        <v>0</v>
      </c>
      <c r="R16" s="14">
        <v>0</v>
      </c>
      <c r="S16" s="11">
        <v>0</v>
      </c>
      <c r="T16" s="10">
        <v>20000</v>
      </c>
      <c r="U16" s="15">
        <v>0</v>
      </c>
      <c r="V16" s="12" t="s">
        <v>139</v>
      </c>
      <c r="W16" s="10">
        <v>0</v>
      </c>
      <c r="X16" s="10">
        <v>327.86885245901601</v>
      </c>
    </row>
    <row r="17" spans="1:24" ht="22" x14ac:dyDescent="0.35">
      <c r="A17" s="3">
        <v>10</v>
      </c>
      <c r="B17" s="3" t="s">
        <v>50</v>
      </c>
      <c r="C17" s="9">
        <v>42944.333333333299</v>
      </c>
      <c r="D17" s="9">
        <v>43332.708333333299</v>
      </c>
      <c r="E17" s="12" t="s">
        <v>52</v>
      </c>
      <c r="F17" s="12"/>
      <c r="G17" s="10">
        <v>0</v>
      </c>
      <c r="H17" s="10">
        <v>0</v>
      </c>
      <c r="I17" s="10">
        <v>101.534296028881</v>
      </c>
      <c r="J17" s="10">
        <v>225000</v>
      </c>
      <c r="K17" s="10">
        <v>225000</v>
      </c>
      <c r="L17" s="3"/>
      <c r="M17" s="3" t="s">
        <v>138</v>
      </c>
      <c r="N17" s="10">
        <v>0</v>
      </c>
      <c r="O17" s="10">
        <v>225000</v>
      </c>
      <c r="P17" s="12" t="s">
        <v>52</v>
      </c>
      <c r="Q17" s="10">
        <v>0</v>
      </c>
      <c r="R17" s="14">
        <v>0</v>
      </c>
      <c r="S17" s="11">
        <v>0</v>
      </c>
      <c r="T17" s="10">
        <v>225000</v>
      </c>
      <c r="U17" s="15">
        <v>0</v>
      </c>
      <c r="V17" s="12" t="s">
        <v>139</v>
      </c>
      <c r="W17" s="10">
        <v>0</v>
      </c>
      <c r="X17" s="10">
        <v>4873.6462093862801</v>
      </c>
    </row>
    <row r="18" spans="1:24" ht="22" x14ac:dyDescent="0.35">
      <c r="A18" s="3">
        <v>11</v>
      </c>
      <c r="B18" s="3" t="s">
        <v>53</v>
      </c>
      <c r="C18" s="9">
        <v>43031.333333333299</v>
      </c>
      <c r="D18" s="9">
        <v>43168.708333333299</v>
      </c>
      <c r="E18" s="12" t="s">
        <v>55</v>
      </c>
      <c r="F18" s="12"/>
      <c r="G18" s="10">
        <v>0</v>
      </c>
      <c r="H18" s="10">
        <v>0</v>
      </c>
      <c r="I18" s="10">
        <v>10</v>
      </c>
      <c r="J18" s="10">
        <v>8000</v>
      </c>
      <c r="K18" s="10">
        <v>8000</v>
      </c>
      <c r="L18" s="3"/>
      <c r="M18" s="3" t="s">
        <v>138</v>
      </c>
      <c r="N18" s="10">
        <v>0</v>
      </c>
      <c r="O18" s="10">
        <v>8000</v>
      </c>
      <c r="P18" s="12" t="s">
        <v>55</v>
      </c>
      <c r="Q18" s="10">
        <v>0</v>
      </c>
      <c r="R18" s="14">
        <v>0</v>
      </c>
      <c r="S18" s="11">
        <v>0</v>
      </c>
      <c r="T18" s="10">
        <v>8000</v>
      </c>
      <c r="U18" s="15">
        <v>0</v>
      </c>
      <c r="V18" s="12" t="s">
        <v>139</v>
      </c>
      <c r="W18" s="10">
        <v>0</v>
      </c>
      <c r="X18" s="10">
        <v>0</v>
      </c>
    </row>
    <row r="19" spans="1:24" ht="32.5" x14ac:dyDescent="0.35">
      <c r="A19" s="3">
        <v>12</v>
      </c>
      <c r="B19" s="3" t="s">
        <v>56</v>
      </c>
      <c r="C19" s="9">
        <v>43031.333333333299</v>
      </c>
      <c r="D19" s="9">
        <v>43168.708333333299</v>
      </c>
      <c r="E19" s="12" t="s">
        <v>55</v>
      </c>
      <c r="F19" s="12"/>
      <c r="G19" s="10">
        <v>0</v>
      </c>
      <c r="H19" s="10">
        <v>0</v>
      </c>
      <c r="I19" s="10">
        <v>43.75</v>
      </c>
      <c r="J19" s="10">
        <v>35000</v>
      </c>
      <c r="K19" s="10">
        <v>35000</v>
      </c>
      <c r="L19" s="3"/>
      <c r="M19" s="3" t="s">
        <v>138</v>
      </c>
      <c r="N19" s="10">
        <v>0</v>
      </c>
      <c r="O19" s="10">
        <v>35000</v>
      </c>
      <c r="P19" s="12" t="s">
        <v>55</v>
      </c>
      <c r="Q19" s="10">
        <v>0</v>
      </c>
      <c r="R19" s="14">
        <v>0</v>
      </c>
      <c r="S19" s="11">
        <v>0</v>
      </c>
      <c r="T19" s="10">
        <v>35000</v>
      </c>
      <c r="U19" s="15">
        <v>0</v>
      </c>
      <c r="V19" s="12" t="s">
        <v>139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58</v>
      </c>
      <c r="C20" s="9">
        <v>42968.333333333299</v>
      </c>
      <c r="D20" s="9">
        <v>43182.708333333299</v>
      </c>
      <c r="E20" s="12" t="s">
        <v>60</v>
      </c>
      <c r="F20" s="12"/>
      <c r="G20" s="10">
        <v>0</v>
      </c>
      <c r="H20" s="10">
        <v>0</v>
      </c>
      <c r="I20" s="10">
        <v>278.22580645161298</v>
      </c>
      <c r="J20" s="10">
        <v>345000</v>
      </c>
      <c r="K20" s="10">
        <v>345000</v>
      </c>
      <c r="L20" s="3"/>
      <c r="M20" s="3" t="s">
        <v>138</v>
      </c>
      <c r="N20" s="10">
        <v>0</v>
      </c>
      <c r="O20" s="10">
        <v>345000</v>
      </c>
      <c r="P20" s="12" t="s">
        <v>60</v>
      </c>
      <c r="Q20" s="10">
        <v>0</v>
      </c>
      <c r="R20" s="14">
        <v>0</v>
      </c>
      <c r="S20" s="11">
        <v>0</v>
      </c>
      <c r="T20" s="10">
        <v>345000</v>
      </c>
      <c r="U20" s="15">
        <v>0</v>
      </c>
      <c r="V20" s="12" t="s">
        <v>139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61</v>
      </c>
      <c r="C21" s="9">
        <v>42968.333333333299</v>
      </c>
      <c r="D21" s="9">
        <v>43179.708333333299</v>
      </c>
      <c r="E21" s="12" t="s">
        <v>63</v>
      </c>
      <c r="F21" s="12"/>
      <c r="G21" s="10">
        <v>0</v>
      </c>
      <c r="H21" s="10">
        <v>0</v>
      </c>
      <c r="I21" s="10">
        <v>37.006578947368403</v>
      </c>
      <c r="J21" s="10">
        <v>45000</v>
      </c>
      <c r="K21" s="10">
        <v>45000</v>
      </c>
      <c r="L21" s="3"/>
      <c r="M21" s="3" t="s">
        <v>138</v>
      </c>
      <c r="N21" s="10">
        <v>0</v>
      </c>
      <c r="O21" s="10">
        <v>45000</v>
      </c>
      <c r="P21" s="12" t="s">
        <v>63</v>
      </c>
      <c r="Q21" s="10">
        <v>0</v>
      </c>
      <c r="R21" s="14">
        <v>0</v>
      </c>
      <c r="S21" s="11">
        <v>0</v>
      </c>
      <c r="T21" s="10">
        <v>45000</v>
      </c>
      <c r="U21" s="15">
        <v>0</v>
      </c>
      <c r="V21" s="12" t="s">
        <v>139</v>
      </c>
      <c r="W21" s="10">
        <v>0</v>
      </c>
      <c r="X21" s="10">
        <v>0</v>
      </c>
    </row>
    <row r="22" spans="1:24" ht="22" x14ac:dyDescent="0.35">
      <c r="A22" s="3">
        <v>15</v>
      </c>
      <c r="B22" s="3" t="s">
        <v>64</v>
      </c>
      <c r="C22" s="9">
        <v>43003.333333333299</v>
      </c>
      <c r="D22" s="9">
        <v>43179.708333333299</v>
      </c>
      <c r="E22" s="12" t="s">
        <v>66</v>
      </c>
      <c r="F22" s="12"/>
      <c r="G22" s="10">
        <v>0</v>
      </c>
      <c r="H22" s="10">
        <v>0</v>
      </c>
      <c r="I22" s="10">
        <v>8.8582677165354298</v>
      </c>
      <c r="J22" s="10">
        <v>9000</v>
      </c>
      <c r="K22" s="10">
        <v>9000</v>
      </c>
      <c r="L22" s="3"/>
      <c r="M22" s="3" t="s">
        <v>138</v>
      </c>
      <c r="N22" s="10">
        <v>0</v>
      </c>
      <c r="O22" s="10">
        <v>9000</v>
      </c>
      <c r="P22" s="12" t="s">
        <v>66</v>
      </c>
      <c r="Q22" s="10">
        <v>0</v>
      </c>
      <c r="R22" s="14">
        <v>0</v>
      </c>
      <c r="S22" s="11">
        <v>0</v>
      </c>
      <c r="T22" s="10">
        <v>9000</v>
      </c>
      <c r="U22" s="15">
        <v>0</v>
      </c>
      <c r="V22" s="12" t="s">
        <v>139</v>
      </c>
      <c r="W22" s="10">
        <v>0</v>
      </c>
      <c r="X22" s="10">
        <v>0</v>
      </c>
    </row>
    <row r="23" spans="1:24" x14ac:dyDescent="0.35">
      <c r="A23" s="3">
        <v>16</v>
      </c>
      <c r="B23" s="3" t="s">
        <v>67</v>
      </c>
      <c r="C23" s="9">
        <v>43003.333333333299</v>
      </c>
      <c r="D23" s="9">
        <v>43297.708333333299</v>
      </c>
      <c r="E23" s="12" t="s">
        <v>69</v>
      </c>
      <c r="F23" s="12"/>
      <c r="G23" s="10">
        <v>0</v>
      </c>
      <c r="H23" s="10">
        <v>0</v>
      </c>
      <c r="I23" s="10">
        <v>52.725118483412302</v>
      </c>
      <c r="J23" s="10">
        <v>89000</v>
      </c>
      <c r="K23" s="10">
        <v>89000</v>
      </c>
      <c r="L23" s="3"/>
      <c r="M23" s="3" t="s">
        <v>138</v>
      </c>
      <c r="N23" s="10">
        <v>0</v>
      </c>
      <c r="O23" s="10">
        <v>89000</v>
      </c>
      <c r="P23" s="12" t="s">
        <v>69</v>
      </c>
      <c r="Q23" s="10">
        <v>0</v>
      </c>
      <c r="R23" s="14">
        <v>0</v>
      </c>
      <c r="S23" s="11">
        <v>0</v>
      </c>
      <c r="T23" s="10">
        <v>89000</v>
      </c>
      <c r="U23" s="15">
        <v>0</v>
      </c>
      <c r="V23" s="12" t="s">
        <v>139</v>
      </c>
      <c r="W23" s="10">
        <v>0</v>
      </c>
      <c r="X23" s="10">
        <v>0</v>
      </c>
    </row>
    <row r="24" spans="1:24" ht="22" x14ac:dyDescent="0.35">
      <c r="A24" s="3">
        <v>17</v>
      </c>
      <c r="B24" s="3" t="s">
        <v>70</v>
      </c>
      <c r="C24" s="9">
        <v>43003.333333333299</v>
      </c>
      <c r="D24" s="9">
        <v>43147.708333333299</v>
      </c>
      <c r="E24" s="12" t="s">
        <v>72</v>
      </c>
      <c r="F24" s="12"/>
      <c r="G24" s="10">
        <v>0</v>
      </c>
      <c r="H24" s="10">
        <v>0</v>
      </c>
      <c r="I24" s="10">
        <v>59.523809523809497</v>
      </c>
      <c r="J24" s="10">
        <v>50000</v>
      </c>
      <c r="K24" s="10">
        <v>50000</v>
      </c>
      <c r="L24" s="3"/>
      <c r="M24" s="3" t="s">
        <v>138</v>
      </c>
      <c r="N24" s="10">
        <v>0</v>
      </c>
      <c r="O24" s="10">
        <v>50000</v>
      </c>
      <c r="P24" s="12" t="s">
        <v>72</v>
      </c>
      <c r="Q24" s="10">
        <v>0</v>
      </c>
      <c r="R24" s="14">
        <v>0</v>
      </c>
      <c r="S24" s="11">
        <v>0</v>
      </c>
      <c r="T24" s="10">
        <v>50000</v>
      </c>
      <c r="U24" s="15">
        <v>0</v>
      </c>
      <c r="V24" s="12" t="s">
        <v>139</v>
      </c>
      <c r="W24" s="10">
        <v>0</v>
      </c>
      <c r="X24" s="10">
        <v>0</v>
      </c>
    </row>
    <row r="25" spans="1:24" ht="22" x14ac:dyDescent="0.35">
      <c r="A25" s="3">
        <v>18</v>
      </c>
      <c r="B25" s="3" t="s">
        <v>73</v>
      </c>
      <c r="C25" s="9">
        <v>43003.333333333299</v>
      </c>
      <c r="D25" s="9">
        <v>43147.708333333299</v>
      </c>
      <c r="E25" s="12" t="s">
        <v>72</v>
      </c>
      <c r="F25" s="12"/>
      <c r="G25" s="10">
        <v>0</v>
      </c>
      <c r="H25" s="10">
        <v>0</v>
      </c>
      <c r="I25" s="10">
        <v>35.714285714285701</v>
      </c>
      <c r="J25" s="10">
        <v>30000</v>
      </c>
      <c r="K25" s="10">
        <v>30000</v>
      </c>
      <c r="L25" s="3"/>
      <c r="M25" s="3" t="s">
        <v>138</v>
      </c>
      <c r="N25" s="10">
        <v>0</v>
      </c>
      <c r="O25" s="10">
        <v>30000</v>
      </c>
      <c r="P25" s="12" t="s">
        <v>72</v>
      </c>
      <c r="Q25" s="10">
        <v>0</v>
      </c>
      <c r="R25" s="14">
        <v>0</v>
      </c>
      <c r="S25" s="11">
        <v>0</v>
      </c>
      <c r="T25" s="10">
        <v>30000</v>
      </c>
      <c r="U25" s="15">
        <v>0</v>
      </c>
      <c r="V25" s="12" t="s">
        <v>139</v>
      </c>
      <c r="W25" s="10">
        <v>0</v>
      </c>
      <c r="X25" s="10">
        <v>0</v>
      </c>
    </row>
    <row r="26" spans="1:24" ht="22" x14ac:dyDescent="0.35">
      <c r="A26" s="3">
        <v>19</v>
      </c>
      <c r="B26" s="3" t="s">
        <v>75</v>
      </c>
      <c r="C26" s="9">
        <v>43059.333333333299</v>
      </c>
      <c r="D26" s="9">
        <v>43238.708333333299</v>
      </c>
      <c r="E26" s="12" t="s">
        <v>77</v>
      </c>
      <c r="F26" s="12"/>
      <c r="G26" s="10">
        <v>0</v>
      </c>
      <c r="H26" s="10">
        <v>0</v>
      </c>
      <c r="I26" s="10">
        <v>38.461538461538503</v>
      </c>
      <c r="J26" s="10">
        <v>40000</v>
      </c>
      <c r="K26" s="10">
        <v>40000</v>
      </c>
      <c r="L26" s="3"/>
      <c r="M26" s="3" t="s">
        <v>138</v>
      </c>
      <c r="N26" s="10">
        <v>0</v>
      </c>
      <c r="O26" s="10">
        <v>40000</v>
      </c>
      <c r="P26" s="12" t="s">
        <v>77</v>
      </c>
      <c r="Q26" s="10">
        <v>0</v>
      </c>
      <c r="R26" s="14">
        <v>0</v>
      </c>
      <c r="S26" s="11">
        <v>0</v>
      </c>
      <c r="T26" s="10">
        <v>40000</v>
      </c>
      <c r="U26" s="15">
        <v>0</v>
      </c>
      <c r="V26" s="12" t="s">
        <v>139</v>
      </c>
      <c r="W26" s="10">
        <v>0</v>
      </c>
      <c r="X26" s="10">
        <v>0</v>
      </c>
    </row>
    <row r="27" spans="1:24" x14ac:dyDescent="0.35">
      <c r="A27" s="3">
        <v>20</v>
      </c>
      <c r="B27" s="3" t="s">
        <v>78</v>
      </c>
      <c r="C27" s="9">
        <v>43045.333333333299</v>
      </c>
      <c r="D27" s="9">
        <v>43070.708333333299</v>
      </c>
      <c r="E27" s="12" t="s">
        <v>80</v>
      </c>
      <c r="F27" s="12"/>
      <c r="G27" s="10">
        <v>0</v>
      </c>
      <c r="H27" s="10">
        <v>0</v>
      </c>
      <c r="I27" s="10">
        <v>156.25</v>
      </c>
      <c r="J27" s="10">
        <v>25000</v>
      </c>
      <c r="K27" s="10">
        <v>25000</v>
      </c>
      <c r="L27" s="3"/>
      <c r="M27" s="3" t="s">
        <v>138</v>
      </c>
      <c r="N27" s="10">
        <v>0</v>
      </c>
      <c r="O27" s="10">
        <v>25000</v>
      </c>
      <c r="P27" s="12" t="s">
        <v>80</v>
      </c>
      <c r="Q27" s="10">
        <v>0</v>
      </c>
      <c r="R27" s="14">
        <v>0</v>
      </c>
      <c r="S27" s="11">
        <v>0</v>
      </c>
      <c r="T27" s="10">
        <v>25000</v>
      </c>
      <c r="U27" s="15">
        <v>0</v>
      </c>
      <c r="V27" s="12" t="s">
        <v>139</v>
      </c>
      <c r="W27" s="10">
        <v>0</v>
      </c>
      <c r="X27" s="10">
        <v>0</v>
      </c>
    </row>
    <row r="28" spans="1:24" x14ac:dyDescent="0.35">
      <c r="A28" s="3">
        <v>21</v>
      </c>
      <c r="B28" s="3" t="s">
        <v>81</v>
      </c>
      <c r="C28" s="9">
        <v>43119.333333333299</v>
      </c>
      <c r="D28" s="9">
        <v>43207.708333333299</v>
      </c>
      <c r="E28" s="12" t="s">
        <v>83</v>
      </c>
      <c r="F28" s="12"/>
      <c r="G28" s="10">
        <v>0</v>
      </c>
      <c r="H28" s="10">
        <v>0</v>
      </c>
      <c r="I28" s="10">
        <v>49.603174603174601</v>
      </c>
      <c r="J28" s="10">
        <v>25000</v>
      </c>
      <c r="K28" s="10">
        <v>25000</v>
      </c>
      <c r="L28" s="3"/>
      <c r="M28" s="3" t="s">
        <v>138</v>
      </c>
      <c r="N28" s="10">
        <v>0</v>
      </c>
      <c r="O28" s="10">
        <v>25000</v>
      </c>
      <c r="P28" s="12" t="s">
        <v>83</v>
      </c>
      <c r="Q28" s="10">
        <v>0</v>
      </c>
      <c r="R28" s="14">
        <v>0</v>
      </c>
      <c r="S28" s="11">
        <v>0</v>
      </c>
      <c r="T28" s="10">
        <v>25000</v>
      </c>
      <c r="U28" s="15">
        <v>0</v>
      </c>
      <c r="V28" s="12" t="s">
        <v>139</v>
      </c>
      <c r="W28" s="10">
        <v>0</v>
      </c>
      <c r="X28" s="10">
        <v>0</v>
      </c>
    </row>
    <row r="29" spans="1:24" ht="22" x14ac:dyDescent="0.35">
      <c r="A29" s="3">
        <v>22</v>
      </c>
      <c r="B29" s="3" t="s">
        <v>84</v>
      </c>
      <c r="C29" s="9">
        <v>43070.333333333299</v>
      </c>
      <c r="D29" s="9">
        <v>43098.708333333299</v>
      </c>
      <c r="E29" s="12" t="s">
        <v>26</v>
      </c>
      <c r="F29" s="12"/>
      <c r="G29" s="10">
        <v>0</v>
      </c>
      <c r="H29" s="10">
        <v>0</v>
      </c>
      <c r="I29" s="10">
        <v>107.142857142857</v>
      </c>
      <c r="J29" s="10">
        <v>18000</v>
      </c>
      <c r="K29" s="10">
        <v>18000</v>
      </c>
      <c r="L29" s="3"/>
      <c r="M29" s="3" t="s">
        <v>138</v>
      </c>
      <c r="N29" s="10">
        <v>0</v>
      </c>
      <c r="O29" s="10">
        <v>18000</v>
      </c>
      <c r="P29" s="12" t="s">
        <v>26</v>
      </c>
      <c r="Q29" s="10">
        <v>0</v>
      </c>
      <c r="R29" s="14">
        <v>0</v>
      </c>
      <c r="S29" s="11">
        <v>0</v>
      </c>
      <c r="T29" s="10">
        <v>18000</v>
      </c>
      <c r="U29" s="15">
        <v>0</v>
      </c>
      <c r="V29" s="12" t="s">
        <v>139</v>
      </c>
      <c r="W29" s="10">
        <v>0</v>
      </c>
      <c r="X29" s="10">
        <v>0</v>
      </c>
    </row>
    <row r="30" spans="1:24" ht="22" x14ac:dyDescent="0.35">
      <c r="A30" s="3">
        <v>23</v>
      </c>
      <c r="B30" s="3" t="s">
        <v>86</v>
      </c>
      <c r="C30" s="9">
        <v>43332.333333333299</v>
      </c>
      <c r="D30" s="9">
        <v>43343.708333333299</v>
      </c>
      <c r="E30" s="12" t="s">
        <v>88</v>
      </c>
      <c r="F30" s="12"/>
      <c r="G30" s="10">
        <v>0</v>
      </c>
      <c r="H30" s="10">
        <v>0</v>
      </c>
      <c r="I30" s="10">
        <v>1562.5</v>
      </c>
      <c r="J30" s="10">
        <v>125000</v>
      </c>
      <c r="K30" s="10">
        <v>125000</v>
      </c>
      <c r="L30" s="3"/>
      <c r="M30" s="3" t="s">
        <v>138</v>
      </c>
      <c r="N30" s="10">
        <v>0</v>
      </c>
      <c r="O30" s="10">
        <v>125000</v>
      </c>
      <c r="P30" s="12" t="s">
        <v>88</v>
      </c>
      <c r="Q30" s="10">
        <v>0</v>
      </c>
      <c r="R30" s="14">
        <v>0</v>
      </c>
      <c r="S30" s="11">
        <v>0</v>
      </c>
      <c r="T30" s="10">
        <v>125000</v>
      </c>
      <c r="U30" s="15">
        <v>0</v>
      </c>
      <c r="V30" s="12" t="s">
        <v>139</v>
      </c>
      <c r="W30" s="10">
        <v>0</v>
      </c>
      <c r="X30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30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119</v>
      </c>
      <c r="C1" s="8">
        <v>42999.708333333299</v>
      </c>
      <c r="E1" s="1" t="s">
        <v>120</v>
      </c>
      <c r="F1" s="4" t="s">
        <v>159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121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122</v>
      </c>
      <c r="M4" s="1" t="s">
        <v>123</v>
      </c>
      <c r="N4" s="1" t="s">
        <v>124</v>
      </c>
      <c r="O4" s="1" t="s">
        <v>125</v>
      </c>
      <c r="P4" s="1" t="s">
        <v>126</v>
      </c>
      <c r="Q4" s="1" t="s">
        <v>127</v>
      </c>
      <c r="R4" s="1" t="s">
        <v>128</v>
      </c>
      <c r="S4" s="1" t="s">
        <v>129</v>
      </c>
      <c r="T4" s="1" t="s">
        <v>130</v>
      </c>
      <c r="U4" s="1" t="s">
        <v>131</v>
      </c>
      <c r="V4" s="1" t="s">
        <v>121</v>
      </c>
      <c r="W4" s="1" t="s">
        <v>132</v>
      </c>
      <c r="X4" s="1" t="s">
        <v>133</v>
      </c>
    </row>
    <row r="5" spans="1:24" ht="22" x14ac:dyDescent="0.35">
      <c r="A5" s="2">
        <v>0</v>
      </c>
      <c r="B5" s="3" t="s">
        <v>18</v>
      </c>
      <c r="C5" s="5">
        <v>42674.333333333299</v>
      </c>
      <c r="D5" s="5">
        <v>43343.708333333299</v>
      </c>
      <c r="E5" s="2" t="s">
        <v>20</v>
      </c>
      <c r="F5" s="2"/>
      <c r="G5" s="6"/>
      <c r="H5" s="6">
        <v>0</v>
      </c>
      <c r="I5" s="6"/>
      <c r="J5" s="6"/>
      <c r="K5" s="6">
        <v>1512000</v>
      </c>
      <c r="L5" s="2"/>
      <c r="M5" s="2" t="s">
        <v>160</v>
      </c>
      <c r="N5" s="6"/>
      <c r="O5" s="6"/>
      <c r="P5" s="2"/>
      <c r="Q5" s="6"/>
      <c r="R5" s="6"/>
      <c r="S5" s="6">
        <v>516473</v>
      </c>
      <c r="T5" s="6"/>
      <c r="U5" s="13">
        <v>0.34167328042327999</v>
      </c>
      <c r="V5" s="2"/>
      <c r="W5" s="6">
        <v>516610</v>
      </c>
      <c r="X5" s="6">
        <v>440829.70824007801</v>
      </c>
    </row>
    <row r="6" spans="1:24" x14ac:dyDescent="0.35">
      <c r="A6" s="3">
        <v>1</v>
      </c>
      <c r="B6" s="3" t="s">
        <v>21</v>
      </c>
      <c r="C6" s="9">
        <v>42674.333333333299</v>
      </c>
      <c r="D6" s="9">
        <v>43080.708333333299</v>
      </c>
      <c r="E6" s="12" t="s">
        <v>23</v>
      </c>
      <c r="F6" s="12"/>
      <c r="G6" s="10">
        <v>0</v>
      </c>
      <c r="H6" s="10">
        <v>0</v>
      </c>
      <c r="I6" s="10">
        <v>67.439862542955296</v>
      </c>
      <c r="J6" s="10">
        <v>157000</v>
      </c>
      <c r="K6" s="10">
        <v>157000</v>
      </c>
      <c r="L6" s="8">
        <v>42674</v>
      </c>
      <c r="M6" s="3" t="s">
        <v>160</v>
      </c>
      <c r="N6" s="10">
        <v>126247.422680412</v>
      </c>
      <c r="O6" s="10">
        <v>67979.381443299004</v>
      </c>
      <c r="P6" s="12" t="s">
        <v>161</v>
      </c>
      <c r="Q6" s="10">
        <v>-14382.422680412399</v>
      </c>
      <c r="R6" s="14">
        <v>0</v>
      </c>
      <c r="S6" s="11">
        <v>111865</v>
      </c>
      <c r="T6" s="10">
        <v>67979.381443299004</v>
      </c>
      <c r="U6" s="15">
        <v>0.65</v>
      </c>
      <c r="V6" s="12" t="s">
        <v>137</v>
      </c>
      <c r="W6" s="10">
        <v>102050</v>
      </c>
      <c r="X6" s="10">
        <v>126247.422680412</v>
      </c>
    </row>
    <row r="7" spans="1:24" x14ac:dyDescent="0.35">
      <c r="A7" s="4">
        <v>26</v>
      </c>
      <c r="B7" s="4" t="s">
        <v>24</v>
      </c>
      <c r="C7" s="5">
        <v>42793.333333333299</v>
      </c>
      <c r="D7" s="5">
        <v>42821.708333333299</v>
      </c>
      <c r="E7" s="2" t="s">
        <v>26</v>
      </c>
      <c r="F7" s="2"/>
      <c r="G7" s="6"/>
      <c r="H7" s="6">
        <v>0</v>
      </c>
      <c r="I7" s="6"/>
      <c r="J7" s="6"/>
      <c r="K7" s="6">
        <v>71000</v>
      </c>
      <c r="L7" s="2"/>
      <c r="M7" s="2" t="s">
        <v>146</v>
      </c>
      <c r="N7" s="6"/>
      <c r="O7" s="6"/>
      <c r="P7" s="2"/>
      <c r="Q7" s="6"/>
      <c r="R7" s="6"/>
      <c r="S7" s="6">
        <v>69070</v>
      </c>
      <c r="T7" s="6"/>
      <c r="U7" s="13">
        <v>1</v>
      </c>
      <c r="V7" s="2"/>
      <c r="W7" s="6">
        <v>71000</v>
      </c>
      <c r="X7" s="6">
        <v>71000</v>
      </c>
    </row>
    <row r="8" spans="1:24" ht="22" x14ac:dyDescent="0.35">
      <c r="A8" s="3">
        <v>2</v>
      </c>
      <c r="B8" s="3" t="s">
        <v>27</v>
      </c>
      <c r="C8" s="9">
        <v>42793.333333333299</v>
      </c>
      <c r="D8" s="9">
        <v>42793.708333333299</v>
      </c>
      <c r="E8" s="12" t="s">
        <v>29</v>
      </c>
      <c r="F8" s="12"/>
      <c r="G8" s="10">
        <v>0</v>
      </c>
      <c r="H8" s="10">
        <v>0</v>
      </c>
      <c r="I8" s="10">
        <v>1875</v>
      </c>
      <c r="J8" s="10">
        <v>15000</v>
      </c>
      <c r="K8" s="10">
        <v>15000</v>
      </c>
      <c r="L8" s="8">
        <v>42793</v>
      </c>
      <c r="M8" s="3" t="s">
        <v>146</v>
      </c>
      <c r="N8" s="10">
        <v>570000</v>
      </c>
      <c r="O8" s="10">
        <v>0</v>
      </c>
      <c r="P8" s="12" t="s">
        <v>138</v>
      </c>
      <c r="Q8" s="10">
        <v>-553600</v>
      </c>
      <c r="R8" s="14">
        <v>0</v>
      </c>
      <c r="S8" s="11">
        <v>16400</v>
      </c>
      <c r="T8" s="10">
        <v>0</v>
      </c>
      <c r="U8" s="15">
        <v>1</v>
      </c>
      <c r="V8" s="12" t="s">
        <v>147</v>
      </c>
      <c r="W8" s="10">
        <v>15000</v>
      </c>
      <c r="X8" s="10">
        <v>15000</v>
      </c>
    </row>
    <row r="9" spans="1:24" ht="32.5" x14ac:dyDescent="0.35">
      <c r="A9" s="3">
        <v>3</v>
      </c>
      <c r="B9" s="3" t="s">
        <v>30</v>
      </c>
      <c r="C9" s="9">
        <v>42793.333333333299</v>
      </c>
      <c r="D9" s="9">
        <v>42821.708333333299</v>
      </c>
      <c r="E9" s="12" t="s">
        <v>26</v>
      </c>
      <c r="F9" s="12"/>
      <c r="G9" s="10">
        <v>0</v>
      </c>
      <c r="H9" s="10">
        <v>0</v>
      </c>
      <c r="I9" s="10">
        <v>333.33333333333297</v>
      </c>
      <c r="J9" s="10">
        <v>56000</v>
      </c>
      <c r="K9" s="10">
        <v>56000</v>
      </c>
      <c r="L9" s="8">
        <v>42793</v>
      </c>
      <c r="M9" s="3" t="s">
        <v>146</v>
      </c>
      <c r="N9" s="10">
        <v>101333.33333333299</v>
      </c>
      <c r="O9" s="10">
        <v>0</v>
      </c>
      <c r="P9" s="12" t="s">
        <v>138</v>
      </c>
      <c r="Q9" s="10">
        <v>-48663.333333333299</v>
      </c>
      <c r="R9" s="14">
        <v>0</v>
      </c>
      <c r="S9" s="11">
        <v>52670</v>
      </c>
      <c r="T9" s="10">
        <v>0</v>
      </c>
      <c r="U9" s="15">
        <v>1</v>
      </c>
      <c r="V9" s="12" t="s">
        <v>147</v>
      </c>
      <c r="W9" s="10">
        <v>56000</v>
      </c>
      <c r="X9" s="10">
        <v>56000</v>
      </c>
    </row>
    <row r="10" spans="1:24" x14ac:dyDescent="0.35">
      <c r="A10" s="4">
        <v>27</v>
      </c>
      <c r="B10" s="4" t="s">
        <v>32</v>
      </c>
      <c r="C10" s="5">
        <v>42922.333333333299</v>
      </c>
      <c r="D10" s="5">
        <v>42950.708333333299</v>
      </c>
      <c r="E10" s="2" t="s">
        <v>26</v>
      </c>
      <c r="F10" s="2"/>
      <c r="G10" s="6"/>
      <c r="H10" s="6">
        <v>0</v>
      </c>
      <c r="I10" s="6"/>
      <c r="J10" s="6"/>
      <c r="K10" s="6">
        <v>60000</v>
      </c>
      <c r="L10" s="2"/>
      <c r="M10" s="2" t="s">
        <v>162</v>
      </c>
      <c r="N10" s="6"/>
      <c r="O10" s="6"/>
      <c r="P10" s="2"/>
      <c r="Q10" s="6"/>
      <c r="R10" s="6"/>
      <c r="S10" s="6">
        <v>55350</v>
      </c>
      <c r="T10" s="6"/>
      <c r="U10" s="13">
        <v>1</v>
      </c>
      <c r="V10" s="2"/>
      <c r="W10" s="6">
        <v>60000</v>
      </c>
      <c r="X10" s="6">
        <v>60000</v>
      </c>
    </row>
    <row r="11" spans="1:24" ht="22" x14ac:dyDescent="0.35">
      <c r="A11" s="3">
        <v>4</v>
      </c>
      <c r="B11" s="3" t="s">
        <v>34</v>
      </c>
      <c r="C11" s="9">
        <v>42922.333333333299</v>
      </c>
      <c r="D11" s="9">
        <v>42922.708333333299</v>
      </c>
      <c r="E11" s="12" t="s">
        <v>29</v>
      </c>
      <c r="F11" s="12"/>
      <c r="G11" s="10">
        <v>0</v>
      </c>
      <c r="H11" s="10">
        <v>0</v>
      </c>
      <c r="I11" s="10">
        <v>1875</v>
      </c>
      <c r="J11" s="10">
        <v>15000</v>
      </c>
      <c r="K11" s="10">
        <v>15000</v>
      </c>
      <c r="L11" s="8">
        <v>42922</v>
      </c>
      <c r="M11" s="3" t="s">
        <v>154</v>
      </c>
      <c r="N11" s="10">
        <v>330000</v>
      </c>
      <c r="O11" s="10">
        <v>0</v>
      </c>
      <c r="P11" s="12" t="s">
        <v>138</v>
      </c>
      <c r="Q11" s="10">
        <v>-315650</v>
      </c>
      <c r="R11" s="14">
        <v>0</v>
      </c>
      <c r="S11" s="11">
        <v>14350</v>
      </c>
      <c r="T11" s="10">
        <v>0</v>
      </c>
      <c r="U11" s="15">
        <v>1</v>
      </c>
      <c r="V11" s="12" t="s">
        <v>147</v>
      </c>
      <c r="W11" s="10">
        <v>15000</v>
      </c>
      <c r="X11" s="10">
        <v>15000</v>
      </c>
    </row>
    <row r="12" spans="1:24" ht="32.5" x14ac:dyDescent="0.35">
      <c r="A12" s="3">
        <v>5</v>
      </c>
      <c r="B12" s="3" t="s">
        <v>36</v>
      </c>
      <c r="C12" s="9">
        <v>42922.333333333299</v>
      </c>
      <c r="D12" s="9">
        <v>42950.708333333299</v>
      </c>
      <c r="E12" s="12" t="s">
        <v>26</v>
      </c>
      <c r="F12" s="12"/>
      <c r="G12" s="10">
        <v>0</v>
      </c>
      <c r="H12" s="10">
        <v>0</v>
      </c>
      <c r="I12" s="10">
        <v>267.857142857143</v>
      </c>
      <c r="J12" s="10">
        <v>45000</v>
      </c>
      <c r="K12" s="10">
        <v>45000</v>
      </c>
      <c r="L12" s="8">
        <v>42922</v>
      </c>
      <c r="M12" s="3" t="s">
        <v>162</v>
      </c>
      <c r="N12" s="10">
        <v>120000</v>
      </c>
      <c r="O12" s="10">
        <v>0</v>
      </c>
      <c r="P12" s="12" t="s">
        <v>138</v>
      </c>
      <c r="Q12" s="10">
        <v>-79000</v>
      </c>
      <c r="R12" s="14">
        <v>0</v>
      </c>
      <c r="S12" s="11">
        <v>41000</v>
      </c>
      <c r="T12" s="10">
        <v>0</v>
      </c>
      <c r="U12" s="15">
        <v>1</v>
      </c>
      <c r="V12" s="12" t="s">
        <v>147</v>
      </c>
      <c r="W12" s="10">
        <v>45000</v>
      </c>
      <c r="X12" s="10">
        <v>45000</v>
      </c>
    </row>
    <row r="13" spans="1:24" ht="22" x14ac:dyDescent="0.35">
      <c r="A13" s="3">
        <v>6</v>
      </c>
      <c r="B13" s="3" t="s">
        <v>38</v>
      </c>
      <c r="C13" s="9">
        <v>42821.333333333299</v>
      </c>
      <c r="D13" s="9">
        <v>43031.708333333299</v>
      </c>
      <c r="E13" s="12" t="s">
        <v>40</v>
      </c>
      <c r="F13" s="12"/>
      <c r="G13" s="10">
        <v>0</v>
      </c>
      <c r="H13" s="10">
        <v>0</v>
      </c>
      <c r="I13" s="10">
        <v>48.013245033112597</v>
      </c>
      <c r="J13" s="10">
        <v>58000</v>
      </c>
      <c r="K13" s="10">
        <v>58000</v>
      </c>
      <c r="L13" s="8">
        <v>42821</v>
      </c>
      <c r="M13" s="3" t="s">
        <v>163</v>
      </c>
      <c r="N13" s="10">
        <v>49549.668874172203</v>
      </c>
      <c r="O13" s="10">
        <v>0</v>
      </c>
      <c r="P13" s="12" t="s">
        <v>138</v>
      </c>
      <c r="Q13" s="10">
        <v>2450.33112582781</v>
      </c>
      <c r="R13" s="14">
        <v>0</v>
      </c>
      <c r="S13" s="11">
        <v>52000</v>
      </c>
      <c r="T13" s="10">
        <v>0</v>
      </c>
      <c r="U13" s="15">
        <v>1</v>
      </c>
      <c r="V13" s="12" t="s">
        <v>147</v>
      </c>
      <c r="W13" s="10">
        <v>58000</v>
      </c>
      <c r="X13" s="10">
        <v>49549.668874172203</v>
      </c>
    </row>
    <row r="14" spans="1:24" ht="22" x14ac:dyDescent="0.35">
      <c r="A14" s="3">
        <v>7</v>
      </c>
      <c r="B14" s="3" t="s">
        <v>41</v>
      </c>
      <c r="C14" s="9">
        <v>42821.333333333299</v>
      </c>
      <c r="D14" s="9">
        <v>43038.708333333299</v>
      </c>
      <c r="E14" s="12" t="s">
        <v>43</v>
      </c>
      <c r="F14" s="12"/>
      <c r="G14" s="10">
        <v>0</v>
      </c>
      <c r="H14" s="10">
        <v>0</v>
      </c>
      <c r="I14" s="10">
        <v>17.628205128205099</v>
      </c>
      <c r="J14" s="10">
        <v>22000</v>
      </c>
      <c r="K14" s="10">
        <v>22000</v>
      </c>
      <c r="L14" s="8">
        <v>42821</v>
      </c>
      <c r="M14" s="3" t="s">
        <v>163</v>
      </c>
      <c r="N14" s="10">
        <v>18192.307692307699</v>
      </c>
      <c r="O14" s="10">
        <v>0</v>
      </c>
      <c r="P14" s="12" t="s">
        <v>138</v>
      </c>
      <c r="Q14" s="10">
        <v>5307.6923076923104</v>
      </c>
      <c r="R14" s="14">
        <v>0</v>
      </c>
      <c r="S14" s="11">
        <v>23500</v>
      </c>
      <c r="T14" s="10">
        <v>0</v>
      </c>
      <c r="U14" s="15">
        <v>1</v>
      </c>
      <c r="V14" s="12" t="s">
        <v>147</v>
      </c>
      <c r="W14" s="10">
        <v>22000</v>
      </c>
      <c r="X14" s="10">
        <v>18192.307692307699</v>
      </c>
    </row>
    <row r="15" spans="1:24" ht="22" x14ac:dyDescent="0.35">
      <c r="A15" s="3">
        <v>8</v>
      </c>
      <c r="B15" s="3" t="s">
        <v>44</v>
      </c>
      <c r="C15" s="9">
        <v>42950.333333333299</v>
      </c>
      <c r="D15" s="9">
        <v>43112.708333333299</v>
      </c>
      <c r="E15" s="12" t="s">
        <v>46</v>
      </c>
      <c r="F15" s="12"/>
      <c r="G15" s="10">
        <v>0</v>
      </c>
      <c r="H15" s="10">
        <v>0</v>
      </c>
      <c r="I15" s="10">
        <v>58.760683760683797</v>
      </c>
      <c r="J15" s="10">
        <v>55000</v>
      </c>
      <c r="K15" s="10">
        <v>55000</v>
      </c>
      <c r="L15" s="8">
        <v>42951</v>
      </c>
      <c r="M15" s="3" t="s">
        <v>164</v>
      </c>
      <c r="N15" s="10">
        <v>16452.9914529915</v>
      </c>
      <c r="O15" s="10">
        <v>55058.760683760702</v>
      </c>
      <c r="P15" s="12" t="s">
        <v>165</v>
      </c>
      <c r="Q15" s="10">
        <v>-4837.9914529914504</v>
      </c>
      <c r="R15" s="14">
        <v>0</v>
      </c>
      <c r="S15" s="11">
        <v>11615</v>
      </c>
      <c r="T15" s="10">
        <v>55058.760683760702</v>
      </c>
      <c r="U15" s="15">
        <v>0.23</v>
      </c>
      <c r="V15" s="12" t="s">
        <v>137</v>
      </c>
      <c r="W15" s="10">
        <v>12650</v>
      </c>
      <c r="X15" s="10">
        <v>16923.0769230769</v>
      </c>
    </row>
    <row r="16" spans="1:24" ht="22" x14ac:dyDescent="0.35">
      <c r="A16" s="3">
        <v>9</v>
      </c>
      <c r="B16" s="3" t="s">
        <v>47</v>
      </c>
      <c r="C16" s="9">
        <v>42950.333333333299</v>
      </c>
      <c r="D16" s="9">
        <v>43119.708333333299</v>
      </c>
      <c r="E16" s="12" t="s">
        <v>49</v>
      </c>
      <c r="F16" s="12"/>
      <c r="G16" s="10">
        <v>0</v>
      </c>
      <c r="H16" s="10">
        <v>0</v>
      </c>
      <c r="I16" s="10">
        <v>20.491803278688501</v>
      </c>
      <c r="J16" s="10">
        <v>20000</v>
      </c>
      <c r="K16" s="10">
        <v>20000</v>
      </c>
      <c r="L16" s="8">
        <v>42951</v>
      </c>
      <c r="M16" s="3" t="s">
        <v>164</v>
      </c>
      <c r="N16" s="10">
        <v>5737.7049180327904</v>
      </c>
      <c r="O16" s="10">
        <v>38401.639344262301</v>
      </c>
      <c r="P16" s="12" t="s">
        <v>166</v>
      </c>
      <c r="Q16" s="10">
        <v>-3007.7049180327899</v>
      </c>
      <c r="R16" s="14">
        <v>0</v>
      </c>
      <c r="S16" s="11">
        <v>2730</v>
      </c>
      <c r="T16" s="10">
        <v>38401.639344262301</v>
      </c>
      <c r="U16" s="15">
        <v>0.13</v>
      </c>
      <c r="V16" s="12" t="s">
        <v>137</v>
      </c>
      <c r="W16" s="10">
        <v>2600</v>
      </c>
      <c r="X16" s="10">
        <v>5901.6393442623003</v>
      </c>
    </row>
    <row r="17" spans="1:24" ht="22" x14ac:dyDescent="0.35">
      <c r="A17" s="3">
        <v>10</v>
      </c>
      <c r="B17" s="3" t="s">
        <v>50</v>
      </c>
      <c r="C17" s="9">
        <v>42944.333333333299</v>
      </c>
      <c r="D17" s="9">
        <v>43332.708333333299</v>
      </c>
      <c r="E17" s="12" t="s">
        <v>52</v>
      </c>
      <c r="F17" s="12"/>
      <c r="G17" s="10">
        <v>0</v>
      </c>
      <c r="H17" s="10">
        <v>0</v>
      </c>
      <c r="I17" s="10">
        <v>101.534296028881</v>
      </c>
      <c r="J17" s="10">
        <v>225000</v>
      </c>
      <c r="K17" s="10">
        <v>225000</v>
      </c>
      <c r="L17" s="8">
        <v>42951</v>
      </c>
      <c r="M17" s="3" t="s">
        <v>164</v>
      </c>
      <c r="N17" s="10">
        <v>28429.6028880866</v>
      </c>
      <c r="O17" s="10">
        <v>55234.657039711201</v>
      </c>
      <c r="P17" s="12" t="s">
        <v>167</v>
      </c>
      <c r="Q17" s="10">
        <v>53170.3971119134</v>
      </c>
      <c r="R17" s="14">
        <v>0</v>
      </c>
      <c r="S17" s="11">
        <v>81600</v>
      </c>
      <c r="T17" s="10">
        <v>55234.657039711201</v>
      </c>
      <c r="U17" s="15">
        <v>0.34</v>
      </c>
      <c r="V17" s="12" t="s">
        <v>137</v>
      </c>
      <c r="W17" s="10">
        <v>76500</v>
      </c>
      <c r="X17" s="10">
        <v>32490.974729241902</v>
      </c>
    </row>
    <row r="18" spans="1:24" ht="22" x14ac:dyDescent="0.35">
      <c r="A18" s="3">
        <v>11</v>
      </c>
      <c r="B18" s="3" t="s">
        <v>53</v>
      </c>
      <c r="C18" s="9">
        <v>43031.333333333299</v>
      </c>
      <c r="D18" s="9">
        <v>43168.708333333299</v>
      </c>
      <c r="E18" s="12" t="s">
        <v>55</v>
      </c>
      <c r="F18" s="12"/>
      <c r="G18" s="10">
        <v>0</v>
      </c>
      <c r="H18" s="10">
        <v>0</v>
      </c>
      <c r="I18" s="10">
        <v>10</v>
      </c>
      <c r="J18" s="10">
        <v>8000</v>
      </c>
      <c r="K18" s="10">
        <v>8000</v>
      </c>
      <c r="L18" s="3"/>
      <c r="M18" s="3" t="s">
        <v>138</v>
      </c>
      <c r="N18" s="10">
        <v>0</v>
      </c>
      <c r="O18" s="10">
        <v>8000</v>
      </c>
      <c r="P18" s="12" t="s">
        <v>55</v>
      </c>
      <c r="Q18" s="10">
        <v>0</v>
      </c>
      <c r="R18" s="14">
        <v>0</v>
      </c>
      <c r="S18" s="11">
        <v>0</v>
      </c>
      <c r="T18" s="10">
        <v>8000</v>
      </c>
      <c r="U18" s="15">
        <v>0</v>
      </c>
      <c r="V18" s="12" t="s">
        <v>139</v>
      </c>
      <c r="W18" s="10">
        <v>0</v>
      </c>
      <c r="X18" s="10">
        <v>0</v>
      </c>
    </row>
    <row r="19" spans="1:24" ht="32.5" x14ac:dyDescent="0.35">
      <c r="A19" s="3">
        <v>12</v>
      </c>
      <c r="B19" s="3" t="s">
        <v>56</v>
      </c>
      <c r="C19" s="9">
        <v>43031.333333333299</v>
      </c>
      <c r="D19" s="9">
        <v>43168.708333333299</v>
      </c>
      <c r="E19" s="12" t="s">
        <v>55</v>
      </c>
      <c r="F19" s="12"/>
      <c r="G19" s="10">
        <v>0</v>
      </c>
      <c r="H19" s="10">
        <v>0</v>
      </c>
      <c r="I19" s="10">
        <v>43.75</v>
      </c>
      <c r="J19" s="10">
        <v>35000</v>
      </c>
      <c r="K19" s="10">
        <v>35000</v>
      </c>
      <c r="L19" s="3"/>
      <c r="M19" s="3" t="s">
        <v>138</v>
      </c>
      <c r="N19" s="10">
        <v>0</v>
      </c>
      <c r="O19" s="10">
        <v>35000</v>
      </c>
      <c r="P19" s="12" t="s">
        <v>55</v>
      </c>
      <c r="Q19" s="10">
        <v>0</v>
      </c>
      <c r="R19" s="14">
        <v>0</v>
      </c>
      <c r="S19" s="11">
        <v>0</v>
      </c>
      <c r="T19" s="10">
        <v>35000</v>
      </c>
      <c r="U19" s="15">
        <v>0</v>
      </c>
      <c r="V19" s="12" t="s">
        <v>139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58</v>
      </c>
      <c r="C20" s="9">
        <v>42968.333333333299</v>
      </c>
      <c r="D20" s="9">
        <v>43182.708333333299</v>
      </c>
      <c r="E20" s="12" t="s">
        <v>60</v>
      </c>
      <c r="F20" s="12"/>
      <c r="G20" s="10">
        <v>0</v>
      </c>
      <c r="H20" s="10">
        <v>0</v>
      </c>
      <c r="I20" s="10">
        <v>278.22580645161298</v>
      </c>
      <c r="J20" s="10">
        <v>345000</v>
      </c>
      <c r="K20" s="10">
        <v>345000</v>
      </c>
      <c r="L20" s="8">
        <v>42968</v>
      </c>
      <c r="M20" s="3" t="s">
        <v>168</v>
      </c>
      <c r="N20" s="10">
        <v>53419.354838709703</v>
      </c>
      <c r="O20" s="10">
        <v>118802.419354839</v>
      </c>
      <c r="P20" s="12" t="s">
        <v>169</v>
      </c>
      <c r="Q20" s="10">
        <v>49500.645161290297</v>
      </c>
      <c r="R20" s="14">
        <v>0</v>
      </c>
      <c r="S20" s="11">
        <v>102920</v>
      </c>
      <c r="T20" s="10">
        <v>118802.419354839</v>
      </c>
      <c r="U20" s="15">
        <v>0.31</v>
      </c>
      <c r="V20" s="12" t="s">
        <v>137</v>
      </c>
      <c r="W20" s="10">
        <v>106950</v>
      </c>
      <c r="X20" s="10">
        <v>53419.354838709703</v>
      </c>
    </row>
    <row r="21" spans="1:24" ht="22" x14ac:dyDescent="0.35">
      <c r="A21" s="3">
        <v>14</v>
      </c>
      <c r="B21" s="3" t="s">
        <v>61</v>
      </c>
      <c r="C21" s="9">
        <v>42968.333333333299</v>
      </c>
      <c r="D21" s="9">
        <v>43179.708333333299</v>
      </c>
      <c r="E21" s="12" t="s">
        <v>63</v>
      </c>
      <c r="F21" s="12"/>
      <c r="G21" s="10">
        <v>0</v>
      </c>
      <c r="H21" s="10">
        <v>0</v>
      </c>
      <c r="I21" s="10">
        <v>37.006578947368403</v>
      </c>
      <c r="J21" s="10">
        <v>45000</v>
      </c>
      <c r="K21" s="10">
        <v>45000</v>
      </c>
      <c r="L21" s="8">
        <v>42968</v>
      </c>
      <c r="M21" s="3" t="s">
        <v>168</v>
      </c>
      <c r="N21" s="10">
        <v>7105.2631578947403</v>
      </c>
      <c r="O21" s="10">
        <v>71829.769736842107</v>
      </c>
      <c r="P21" s="12" t="s">
        <v>170</v>
      </c>
      <c r="Q21" s="10">
        <v>-2092.2631578947398</v>
      </c>
      <c r="R21" s="14">
        <v>0</v>
      </c>
      <c r="S21" s="11">
        <v>5013</v>
      </c>
      <c r="T21" s="10">
        <v>71829.769736842107</v>
      </c>
      <c r="U21" s="15">
        <v>0.09</v>
      </c>
      <c r="V21" s="12" t="s">
        <v>137</v>
      </c>
      <c r="W21" s="10">
        <v>4050</v>
      </c>
      <c r="X21" s="10">
        <v>7105.2631578947403</v>
      </c>
    </row>
    <row r="22" spans="1:24" ht="22" x14ac:dyDescent="0.35">
      <c r="A22" s="3">
        <v>15</v>
      </c>
      <c r="B22" s="3" t="s">
        <v>64</v>
      </c>
      <c r="C22" s="9">
        <v>43003.333333333299</v>
      </c>
      <c r="D22" s="9">
        <v>43179.708333333299</v>
      </c>
      <c r="E22" s="12" t="s">
        <v>66</v>
      </c>
      <c r="F22" s="12"/>
      <c r="G22" s="10">
        <v>0</v>
      </c>
      <c r="H22" s="10">
        <v>0</v>
      </c>
      <c r="I22" s="10">
        <v>8.8582677165354298</v>
      </c>
      <c r="J22" s="10">
        <v>9000</v>
      </c>
      <c r="K22" s="10">
        <v>9000</v>
      </c>
      <c r="L22" s="8">
        <v>42951</v>
      </c>
      <c r="M22" s="3" t="s">
        <v>164</v>
      </c>
      <c r="N22" s="10">
        <v>2480.3149606299198</v>
      </c>
      <c r="O22" s="10">
        <v>25077.7559055118</v>
      </c>
      <c r="P22" s="12" t="s">
        <v>171</v>
      </c>
      <c r="Q22" s="10">
        <v>-1670.3149606299201</v>
      </c>
      <c r="R22" s="14">
        <v>0</v>
      </c>
      <c r="S22" s="11">
        <v>810</v>
      </c>
      <c r="T22" s="10">
        <v>25077.7559055118</v>
      </c>
      <c r="U22" s="15">
        <v>0.09</v>
      </c>
      <c r="V22" s="12" t="s">
        <v>137</v>
      </c>
      <c r="W22" s="10">
        <v>810</v>
      </c>
      <c r="X22" s="10">
        <v>0</v>
      </c>
    </row>
    <row r="23" spans="1:24" x14ac:dyDescent="0.35">
      <c r="A23" s="3">
        <v>16</v>
      </c>
      <c r="B23" s="3" t="s">
        <v>67</v>
      </c>
      <c r="C23" s="9">
        <v>43003.333333333299</v>
      </c>
      <c r="D23" s="9">
        <v>43297.708333333299</v>
      </c>
      <c r="E23" s="12" t="s">
        <v>69</v>
      </c>
      <c r="F23" s="12"/>
      <c r="G23" s="10">
        <v>0</v>
      </c>
      <c r="H23" s="10">
        <v>0</v>
      </c>
      <c r="I23" s="10">
        <v>52.725118483412302</v>
      </c>
      <c r="J23" s="10">
        <v>89000</v>
      </c>
      <c r="K23" s="10">
        <v>89000</v>
      </c>
      <c r="L23" s="3"/>
      <c r="M23" s="3" t="s">
        <v>138</v>
      </c>
      <c r="N23" s="10">
        <v>0</v>
      </c>
      <c r="O23" s="10">
        <v>89000</v>
      </c>
      <c r="P23" s="12" t="s">
        <v>69</v>
      </c>
      <c r="Q23" s="10">
        <v>0</v>
      </c>
      <c r="R23" s="14">
        <v>0</v>
      </c>
      <c r="S23" s="11">
        <v>0</v>
      </c>
      <c r="T23" s="10">
        <v>89000</v>
      </c>
      <c r="U23" s="15">
        <v>0</v>
      </c>
      <c r="V23" s="12" t="s">
        <v>139</v>
      </c>
      <c r="W23" s="10">
        <v>0</v>
      </c>
      <c r="X23" s="10">
        <v>0</v>
      </c>
    </row>
    <row r="24" spans="1:24" ht="22" x14ac:dyDescent="0.35">
      <c r="A24" s="3">
        <v>17</v>
      </c>
      <c r="B24" s="3" t="s">
        <v>70</v>
      </c>
      <c r="C24" s="9">
        <v>43003.333333333299</v>
      </c>
      <c r="D24" s="9">
        <v>43147.708333333299</v>
      </c>
      <c r="E24" s="12" t="s">
        <v>72</v>
      </c>
      <c r="F24" s="12"/>
      <c r="G24" s="10">
        <v>0</v>
      </c>
      <c r="H24" s="10">
        <v>0</v>
      </c>
      <c r="I24" s="10">
        <v>59.523809523809497</v>
      </c>
      <c r="J24" s="10">
        <v>50000</v>
      </c>
      <c r="K24" s="10">
        <v>50000</v>
      </c>
      <c r="L24" s="3"/>
      <c r="M24" s="3" t="s">
        <v>138</v>
      </c>
      <c r="N24" s="10">
        <v>0</v>
      </c>
      <c r="O24" s="10">
        <v>50000</v>
      </c>
      <c r="P24" s="12" t="s">
        <v>72</v>
      </c>
      <c r="Q24" s="10">
        <v>0</v>
      </c>
      <c r="R24" s="14">
        <v>0</v>
      </c>
      <c r="S24" s="11">
        <v>0</v>
      </c>
      <c r="T24" s="10">
        <v>50000</v>
      </c>
      <c r="U24" s="15">
        <v>0</v>
      </c>
      <c r="V24" s="12" t="s">
        <v>139</v>
      </c>
      <c r="W24" s="10">
        <v>0</v>
      </c>
      <c r="X24" s="10">
        <v>0</v>
      </c>
    </row>
    <row r="25" spans="1:24" ht="22" x14ac:dyDescent="0.35">
      <c r="A25" s="3">
        <v>18</v>
      </c>
      <c r="B25" s="3" t="s">
        <v>73</v>
      </c>
      <c r="C25" s="9">
        <v>43003.333333333299</v>
      </c>
      <c r="D25" s="9">
        <v>43147.708333333299</v>
      </c>
      <c r="E25" s="12" t="s">
        <v>72</v>
      </c>
      <c r="F25" s="12"/>
      <c r="G25" s="10">
        <v>0</v>
      </c>
      <c r="H25" s="10">
        <v>0</v>
      </c>
      <c r="I25" s="10">
        <v>35.714285714285701</v>
      </c>
      <c r="J25" s="10">
        <v>30000</v>
      </c>
      <c r="K25" s="10">
        <v>30000</v>
      </c>
      <c r="L25" s="3"/>
      <c r="M25" s="3" t="s">
        <v>138</v>
      </c>
      <c r="N25" s="10">
        <v>0</v>
      </c>
      <c r="O25" s="10">
        <v>30000</v>
      </c>
      <c r="P25" s="12" t="s">
        <v>72</v>
      </c>
      <c r="Q25" s="10">
        <v>0</v>
      </c>
      <c r="R25" s="14">
        <v>0</v>
      </c>
      <c r="S25" s="11">
        <v>0</v>
      </c>
      <c r="T25" s="10">
        <v>30000</v>
      </c>
      <c r="U25" s="15">
        <v>0</v>
      </c>
      <c r="V25" s="12" t="s">
        <v>139</v>
      </c>
      <c r="W25" s="10">
        <v>0</v>
      </c>
      <c r="X25" s="10">
        <v>0</v>
      </c>
    </row>
    <row r="26" spans="1:24" ht="22" x14ac:dyDescent="0.35">
      <c r="A26" s="3">
        <v>19</v>
      </c>
      <c r="B26" s="3" t="s">
        <v>75</v>
      </c>
      <c r="C26" s="9">
        <v>43059.333333333299</v>
      </c>
      <c r="D26" s="9">
        <v>43238.708333333299</v>
      </c>
      <c r="E26" s="12" t="s">
        <v>77</v>
      </c>
      <c r="F26" s="12"/>
      <c r="G26" s="10">
        <v>0</v>
      </c>
      <c r="H26" s="10">
        <v>0</v>
      </c>
      <c r="I26" s="10">
        <v>38.461538461538503</v>
      </c>
      <c r="J26" s="10">
        <v>40000</v>
      </c>
      <c r="K26" s="10">
        <v>40000</v>
      </c>
      <c r="L26" s="3"/>
      <c r="M26" s="3" t="s">
        <v>138</v>
      </c>
      <c r="N26" s="10">
        <v>0</v>
      </c>
      <c r="O26" s="10">
        <v>40000</v>
      </c>
      <c r="P26" s="12" t="s">
        <v>77</v>
      </c>
      <c r="Q26" s="10">
        <v>0</v>
      </c>
      <c r="R26" s="14">
        <v>0</v>
      </c>
      <c r="S26" s="11">
        <v>0</v>
      </c>
      <c r="T26" s="10">
        <v>40000</v>
      </c>
      <c r="U26" s="15">
        <v>0</v>
      </c>
      <c r="V26" s="12" t="s">
        <v>139</v>
      </c>
      <c r="W26" s="10">
        <v>0</v>
      </c>
      <c r="X26" s="10">
        <v>0</v>
      </c>
    </row>
    <row r="27" spans="1:24" x14ac:dyDescent="0.35">
      <c r="A27" s="3">
        <v>20</v>
      </c>
      <c r="B27" s="3" t="s">
        <v>78</v>
      </c>
      <c r="C27" s="9">
        <v>43045.333333333299</v>
      </c>
      <c r="D27" s="9">
        <v>43070.708333333299</v>
      </c>
      <c r="E27" s="12" t="s">
        <v>80</v>
      </c>
      <c r="F27" s="12"/>
      <c r="G27" s="10">
        <v>0</v>
      </c>
      <c r="H27" s="10">
        <v>0</v>
      </c>
      <c r="I27" s="10">
        <v>156.25</v>
      </c>
      <c r="J27" s="10">
        <v>25000</v>
      </c>
      <c r="K27" s="10">
        <v>25000</v>
      </c>
      <c r="L27" s="3"/>
      <c r="M27" s="3" t="s">
        <v>138</v>
      </c>
      <c r="N27" s="10">
        <v>0</v>
      </c>
      <c r="O27" s="10">
        <v>25000</v>
      </c>
      <c r="P27" s="12" t="s">
        <v>80</v>
      </c>
      <c r="Q27" s="10">
        <v>0</v>
      </c>
      <c r="R27" s="14">
        <v>0</v>
      </c>
      <c r="S27" s="11">
        <v>0</v>
      </c>
      <c r="T27" s="10">
        <v>25000</v>
      </c>
      <c r="U27" s="15">
        <v>0</v>
      </c>
      <c r="V27" s="12" t="s">
        <v>139</v>
      </c>
      <c r="W27" s="10">
        <v>0</v>
      </c>
      <c r="X27" s="10">
        <v>0</v>
      </c>
    </row>
    <row r="28" spans="1:24" x14ac:dyDescent="0.35">
      <c r="A28" s="3">
        <v>21</v>
      </c>
      <c r="B28" s="3" t="s">
        <v>81</v>
      </c>
      <c r="C28" s="9">
        <v>43119.333333333299</v>
      </c>
      <c r="D28" s="9">
        <v>43207.708333333299</v>
      </c>
      <c r="E28" s="12" t="s">
        <v>83</v>
      </c>
      <c r="F28" s="12"/>
      <c r="G28" s="10">
        <v>0</v>
      </c>
      <c r="H28" s="10">
        <v>0</v>
      </c>
      <c r="I28" s="10">
        <v>49.603174603174601</v>
      </c>
      <c r="J28" s="10">
        <v>25000</v>
      </c>
      <c r="K28" s="10">
        <v>25000</v>
      </c>
      <c r="L28" s="3"/>
      <c r="M28" s="3" t="s">
        <v>138</v>
      </c>
      <c r="N28" s="10">
        <v>0</v>
      </c>
      <c r="O28" s="10">
        <v>25000</v>
      </c>
      <c r="P28" s="12" t="s">
        <v>83</v>
      </c>
      <c r="Q28" s="10">
        <v>0</v>
      </c>
      <c r="R28" s="14">
        <v>0</v>
      </c>
      <c r="S28" s="11">
        <v>0</v>
      </c>
      <c r="T28" s="10">
        <v>25000</v>
      </c>
      <c r="U28" s="15">
        <v>0</v>
      </c>
      <c r="V28" s="12" t="s">
        <v>139</v>
      </c>
      <c r="W28" s="10">
        <v>0</v>
      </c>
      <c r="X28" s="10">
        <v>0</v>
      </c>
    </row>
    <row r="29" spans="1:24" ht="22" x14ac:dyDescent="0.35">
      <c r="A29" s="3">
        <v>22</v>
      </c>
      <c r="B29" s="3" t="s">
        <v>84</v>
      </c>
      <c r="C29" s="9">
        <v>43070.333333333299</v>
      </c>
      <c r="D29" s="9">
        <v>43098.708333333299</v>
      </c>
      <c r="E29" s="12" t="s">
        <v>26</v>
      </c>
      <c r="F29" s="12"/>
      <c r="G29" s="10">
        <v>0</v>
      </c>
      <c r="H29" s="10">
        <v>0</v>
      </c>
      <c r="I29" s="10">
        <v>107.142857142857</v>
      </c>
      <c r="J29" s="10">
        <v>18000</v>
      </c>
      <c r="K29" s="10">
        <v>18000</v>
      </c>
      <c r="L29" s="3"/>
      <c r="M29" s="3" t="s">
        <v>138</v>
      </c>
      <c r="N29" s="10">
        <v>0</v>
      </c>
      <c r="O29" s="10">
        <v>18000</v>
      </c>
      <c r="P29" s="12" t="s">
        <v>26</v>
      </c>
      <c r="Q29" s="10">
        <v>0</v>
      </c>
      <c r="R29" s="14">
        <v>0</v>
      </c>
      <c r="S29" s="11">
        <v>0</v>
      </c>
      <c r="T29" s="10">
        <v>18000</v>
      </c>
      <c r="U29" s="15">
        <v>0</v>
      </c>
      <c r="V29" s="12" t="s">
        <v>139</v>
      </c>
      <c r="W29" s="10">
        <v>0</v>
      </c>
      <c r="X29" s="10">
        <v>0</v>
      </c>
    </row>
    <row r="30" spans="1:24" ht="22" x14ac:dyDescent="0.35">
      <c r="A30" s="3">
        <v>23</v>
      </c>
      <c r="B30" s="3" t="s">
        <v>86</v>
      </c>
      <c r="C30" s="9">
        <v>43332.333333333299</v>
      </c>
      <c r="D30" s="9">
        <v>43343.708333333299</v>
      </c>
      <c r="E30" s="12" t="s">
        <v>88</v>
      </c>
      <c r="F30" s="12"/>
      <c r="G30" s="10">
        <v>0</v>
      </c>
      <c r="H30" s="10">
        <v>0</v>
      </c>
      <c r="I30" s="10">
        <v>1562.5</v>
      </c>
      <c r="J30" s="10">
        <v>125000</v>
      </c>
      <c r="K30" s="10">
        <v>125000</v>
      </c>
      <c r="L30" s="3"/>
      <c r="M30" s="3" t="s">
        <v>138</v>
      </c>
      <c r="N30" s="10">
        <v>0</v>
      </c>
      <c r="O30" s="10">
        <v>125000</v>
      </c>
      <c r="P30" s="12" t="s">
        <v>88</v>
      </c>
      <c r="Q30" s="10">
        <v>0</v>
      </c>
      <c r="R30" s="14">
        <v>0</v>
      </c>
      <c r="S30" s="11">
        <v>0</v>
      </c>
      <c r="T30" s="10">
        <v>125000</v>
      </c>
      <c r="U30" s="15">
        <v>0</v>
      </c>
      <c r="V30" s="12" t="s">
        <v>139</v>
      </c>
      <c r="W30" s="10">
        <v>0</v>
      </c>
      <c r="X30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30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119</v>
      </c>
      <c r="C1" s="8">
        <v>43053.708333333299</v>
      </c>
      <c r="E1" s="1" t="s">
        <v>120</v>
      </c>
      <c r="F1" s="4" t="s">
        <v>172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121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122</v>
      </c>
      <c r="M4" s="1" t="s">
        <v>123</v>
      </c>
      <c r="N4" s="1" t="s">
        <v>124</v>
      </c>
      <c r="O4" s="1" t="s">
        <v>125</v>
      </c>
      <c r="P4" s="1" t="s">
        <v>126</v>
      </c>
      <c r="Q4" s="1" t="s">
        <v>127</v>
      </c>
      <c r="R4" s="1" t="s">
        <v>128</v>
      </c>
      <c r="S4" s="1" t="s">
        <v>129</v>
      </c>
      <c r="T4" s="1" t="s">
        <v>130</v>
      </c>
      <c r="U4" s="1" t="s">
        <v>131</v>
      </c>
      <c r="V4" s="1" t="s">
        <v>121</v>
      </c>
      <c r="W4" s="1" t="s">
        <v>132</v>
      </c>
      <c r="X4" s="1" t="s">
        <v>133</v>
      </c>
    </row>
    <row r="5" spans="1:24" ht="22" x14ac:dyDescent="0.35">
      <c r="A5" s="2">
        <v>0</v>
      </c>
      <c r="B5" s="3" t="s">
        <v>18</v>
      </c>
      <c r="C5" s="5">
        <v>42674.333333333299</v>
      </c>
      <c r="D5" s="5">
        <v>43343.708333333299</v>
      </c>
      <c r="E5" s="2" t="s">
        <v>20</v>
      </c>
      <c r="F5" s="2"/>
      <c r="G5" s="6"/>
      <c r="H5" s="6">
        <v>0</v>
      </c>
      <c r="I5" s="6"/>
      <c r="J5" s="6"/>
      <c r="K5" s="6">
        <v>1512000</v>
      </c>
      <c r="L5" s="2"/>
      <c r="M5" s="2" t="s">
        <v>173</v>
      </c>
      <c r="N5" s="6"/>
      <c r="O5" s="6"/>
      <c r="P5" s="2"/>
      <c r="Q5" s="6"/>
      <c r="R5" s="6"/>
      <c r="S5" s="6">
        <v>790691.5</v>
      </c>
      <c r="T5" s="6"/>
      <c r="U5" s="13">
        <v>0.521792328042328</v>
      </c>
      <c r="V5" s="2"/>
      <c r="W5" s="6">
        <v>788950</v>
      </c>
      <c r="X5" s="6">
        <v>686858.43560635601</v>
      </c>
    </row>
    <row r="6" spans="1:24" x14ac:dyDescent="0.35">
      <c r="A6" s="3">
        <v>1</v>
      </c>
      <c r="B6" s="3" t="s">
        <v>21</v>
      </c>
      <c r="C6" s="9">
        <v>42674.333333333299</v>
      </c>
      <c r="D6" s="9">
        <v>43080.708333333299</v>
      </c>
      <c r="E6" s="12" t="s">
        <v>23</v>
      </c>
      <c r="F6" s="12"/>
      <c r="G6" s="10">
        <v>0</v>
      </c>
      <c r="H6" s="10">
        <v>0</v>
      </c>
      <c r="I6" s="10">
        <v>67.439862542955296</v>
      </c>
      <c r="J6" s="10">
        <v>157000</v>
      </c>
      <c r="K6" s="10">
        <v>157000</v>
      </c>
      <c r="L6" s="8">
        <v>42674</v>
      </c>
      <c r="M6" s="3" t="s">
        <v>173</v>
      </c>
      <c r="N6" s="10">
        <v>146749.14089347099</v>
      </c>
      <c r="O6" s="10">
        <v>0</v>
      </c>
      <c r="P6" s="12" t="s">
        <v>138</v>
      </c>
      <c r="Q6" s="10">
        <v>25350.859106529198</v>
      </c>
      <c r="R6" s="14">
        <v>0</v>
      </c>
      <c r="S6" s="11">
        <v>172100</v>
      </c>
      <c r="T6" s="10">
        <v>0</v>
      </c>
      <c r="U6" s="15">
        <v>1</v>
      </c>
      <c r="V6" s="12" t="s">
        <v>147</v>
      </c>
      <c r="W6" s="10">
        <v>157000</v>
      </c>
      <c r="X6" s="10">
        <v>146749.14089347099</v>
      </c>
    </row>
    <row r="7" spans="1:24" x14ac:dyDescent="0.35">
      <c r="A7" s="4">
        <v>26</v>
      </c>
      <c r="B7" s="4" t="s">
        <v>24</v>
      </c>
      <c r="C7" s="5">
        <v>42793.333333333299</v>
      </c>
      <c r="D7" s="5">
        <v>42821.708333333299</v>
      </c>
      <c r="E7" s="2" t="s">
        <v>26</v>
      </c>
      <c r="F7" s="2"/>
      <c r="G7" s="6"/>
      <c r="H7" s="6">
        <v>0</v>
      </c>
      <c r="I7" s="6"/>
      <c r="J7" s="6"/>
      <c r="K7" s="6">
        <v>71000</v>
      </c>
      <c r="L7" s="2"/>
      <c r="M7" s="2" t="s">
        <v>146</v>
      </c>
      <c r="N7" s="6"/>
      <c r="O7" s="6"/>
      <c r="P7" s="2"/>
      <c r="Q7" s="6"/>
      <c r="R7" s="6"/>
      <c r="S7" s="6">
        <v>69070</v>
      </c>
      <c r="T7" s="6"/>
      <c r="U7" s="13">
        <v>1</v>
      </c>
      <c r="V7" s="2"/>
      <c r="W7" s="6">
        <v>71000</v>
      </c>
      <c r="X7" s="6">
        <v>71000</v>
      </c>
    </row>
    <row r="8" spans="1:24" ht="22" x14ac:dyDescent="0.35">
      <c r="A8" s="3">
        <v>2</v>
      </c>
      <c r="B8" s="3" t="s">
        <v>27</v>
      </c>
      <c r="C8" s="9">
        <v>42793.333333333299</v>
      </c>
      <c r="D8" s="9">
        <v>42793.708333333299</v>
      </c>
      <c r="E8" s="12" t="s">
        <v>29</v>
      </c>
      <c r="F8" s="12"/>
      <c r="G8" s="10">
        <v>0</v>
      </c>
      <c r="H8" s="10">
        <v>0</v>
      </c>
      <c r="I8" s="10">
        <v>1875</v>
      </c>
      <c r="J8" s="10">
        <v>15000</v>
      </c>
      <c r="K8" s="10">
        <v>15000</v>
      </c>
      <c r="L8" s="8">
        <v>42793</v>
      </c>
      <c r="M8" s="3" t="s">
        <v>146</v>
      </c>
      <c r="N8" s="10">
        <v>570000</v>
      </c>
      <c r="O8" s="10">
        <v>0</v>
      </c>
      <c r="P8" s="12" t="s">
        <v>138</v>
      </c>
      <c r="Q8" s="10">
        <v>-553600</v>
      </c>
      <c r="R8" s="14">
        <v>0</v>
      </c>
      <c r="S8" s="11">
        <v>16400</v>
      </c>
      <c r="T8" s="10">
        <v>0</v>
      </c>
      <c r="U8" s="15">
        <v>1</v>
      </c>
      <c r="V8" s="12" t="s">
        <v>147</v>
      </c>
      <c r="W8" s="10">
        <v>15000</v>
      </c>
      <c r="X8" s="10">
        <v>15000</v>
      </c>
    </row>
    <row r="9" spans="1:24" ht="32.5" x14ac:dyDescent="0.35">
      <c r="A9" s="3">
        <v>3</v>
      </c>
      <c r="B9" s="3" t="s">
        <v>30</v>
      </c>
      <c r="C9" s="9">
        <v>42793.333333333299</v>
      </c>
      <c r="D9" s="9">
        <v>42821.708333333299</v>
      </c>
      <c r="E9" s="12" t="s">
        <v>26</v>
      </c>
      <c r="F9" s="12"/>
      <c r="G9" s="10">
        <v>0</v>
      </c>
      <c r="H9" s="10">
        <v>0</v>
      </c>
      <c r="I9" s="10">
        <v>333.33333333333297</v>
      </c>
      <c r="J9" s="10">
        <v>56000</v>
      </c>
      <c r="K9" s="10">
        <v>56000</v>
      </c>
      <c r="L9" s="8">
        <v>42793</v>
      </c>
      <c r="M9" s="3" t="s">
        <v>146</v>
      </c>
      <c r="N9" s="10">
        <v>101333.33333333299</v>
      </c>
      <c r="O9" s="10">
        <v>0</v>
      </c>
      <c r="P9" s="12" t="s">
        <v>138</v>
      </c>
      <c r="Q9" s="10">
        <v>-48663.333333333299</v>
      </c>
      <c r="R9" s="14">
        <v>0</v>
      </c>
      <c r="S9" s="11">
        <v>52670</v>
      </c>
      <c r="T9" s="10">
        <v>0</v>
      </c>
      <c r="U9" s="15">
        <v>1</v>
      </c>
      <c r="V9" s="12" t="s">
        <v>147</v>
      </c>
      <c r="W9" s="10">
        <v>56000</v>
      </c>
      <c r="X9" s="10">
        <v>56000</v>
      </c>
    </row>
    <row r="10" spans="1:24" x14ac:dyDescent="0.35">
      <c r="A10" s="4">
        <v>27</v>
      </c>
      <c r="B10" s="4" t="s">
        <v>32</v>
      </c>
      <c r="C10" s="5">
        <v>42922.333333333299</v>
      </c>
      <c r="D10" s="5">
        <v>42950.708333333299</v>
      </c>
      <c r="E10" s="2" t="s">
        <v>26</v>
      </c>
      <c r="F10" s="2"/>
      <c r="G10" s="6"/>
      <c r="H10" s="6">
        <v>0</v>
      </c>
      <c r="I10" s="6"/>
      <c r="J10" s="6"/>
      <c r="K10" s="6">
        <v>60000</v>
      </c>
      <c r="L10" s="2"/>
      <c r="M10" s="2" t="s">
        <v>162</v>
      </c>
      <c r="N10" s="6"/>
      <c r="O10" s="6"/>
      <c r="P10" s="2"/>
      <c r="Q10" s="6"/>
      <c r="R10" s="6"/>
      <c r="S10" s="6">
        <v>55350</v>
      </c>
      <c r="T10" s="6"/>
      <c r="U10" s="13">
        <v>1</v>
      </c>
      <c r="V10" s="2"/>
      <c r="W10" s="6">
        <v>60000</v>
      </c>
      <c r="X10" s="6">
        <v>60000</v>
      </c>
    </row>
    <row r="11" spans="1:24" ht="22" x14ac:dyDescent="0.35">
      <c r="A11" s="3">
        <v>4</v>
      </c>
      <c r="B11" s="3" t="s">
        <v>34</v>
      </c>
      <c r="C11" s="9">
        <v>42922.333333333299</v>
      </c>
      <c r="D11" s="9">
        <v>42922.708333333299</v>
      </c>
      <c r="E11" s="12" t="s">
        <v>29</v>
      </c>
      <c r="F11" s="12"/>
      <c r="G11" s="10">
        <v>0</v>
      </c>
      <c r="H11" s="10">
        <v>0</v>
      </c>
      <c r="I11" s="10">
        <v>1875</v>
      </c>
      <c r="J11" s="10">
        <v>15000</v>
      </c>
      <c r="K11" s="10">
        <v>15000</v>
      </c>
      <c r="L11" s="8">
        <v>42922</v>
      </c>
      <c r="M11" s="3" t="s">
        <v>154</v>
      </c>
      <c r="N11" s="10">
        <v>330000</v>
      </c>
      <c r="O11" s="10">
        <v>0</v>
      </c>
      <c r="P11" s="12" t="s">
        <v>138</v>
      </c>
      <c r="Q11" s="10">
        <v>-315650</v>
      </c>
      <c r="R11" s="14">
        <v>0</v>
      </c>
      <c r="S11" s="11">
        <v>14350</v>
      </c>
      <c r="T11" s="10">
        <v>0</v>
      </c>
      <c r="U11" s="15">
        <v>1</v>
      </c>
      <c r="V11" s="12" t="s">
        <v>147</v>
      </c>
      <c r="W11" s="10">
        <v>15000</v>
      </c>
      <c r="X11" s="10">
        <v>15000</v>
      </c>
    </row>
    <row r="12" spans="1:24" ht="32.5" x14ac:dyDescent="0.35">
      <c r="A12" s="3">
        <v>5</v>
      </c>
      <c r="B12" s="3" t="s">
        <v>36</v>
      </c>
      <c r="C12" s="9">
        <v>42922.333333333299</v>
      </c>
      <c r="D12" s="9">
        <v>42950.708333333299</v>
      </c>
      <c r="E12" s="12" t="s">
        <v>26</v>
      </c>
      <c r="F12" s="12"/>
      <c r="G12" s="10">
        <v>0</v>
      </c>
      <c r="H12" s="10">
        <v>0</v>
      </c>
      <c r="I12" s="10">
        <v>267.857142857143</v>
      </c>
      <c r="J12" s="10">
        <v>45000</v>
      </c>
      <c r="K12" s="10">
        <v>45000</v>
      </c>
      <c r="L12" s="8">
        <v>42922</v>
      </c>
      <c r="M12" s="3" t="s">
        <v>162</v>
      </c>
      <c r="N12" s="10">
        <v>120000</v>
      </c>
      <c r="O12" s="10">
        <v>0</v>
      </c>
      <c r="P12" s="12" t="s">
        <v>138</v>
      </c>
      <c r="Q12" s="10">
        <v>-79000</v>
      </c>
      <c r="R12" s="14">
        <v>0</v>
      </c>
      <c r="S12" s="11">
        <v>41000</v>
      </c>
      <c r="T12" s="10">
        <v>0</v>
      </c>
      <c r="U12" s="15">
        <v>1</v>
      </c>
      <c r="V12" s="12" t="s">
        <v>147</v>
      </c>
      <c r="W12" s="10">
        <v>45000</v>
      </c>
      <c r="X12" s="10">
        <v>45000</v>
      </c>
    </row>
    <row r="13" spans="1:24" ht="22" x14ac:dyDescent="0.35">
      <c r="A13" s="3">
        <v>6</v>
      </c>
      <c r="B13" s="3" t="s">
        <v>38</v>
      </c>
      <c r="C13" s="9">
        <v>42821.333333333299</v>
      </c>
      <c r="D13" s="9">
        <v>43031.708333333299</v>
      </c>
      <c r="E13" s="12" t="s">
        <v>40</v>
      </c>
      <c r="F13" s="12"/>
      <c r="G13" s="10">
        <v>0</v>
      </c>
      <c r="H13" s="10">
        <v>0</v>
      </c>
      <c r="I13" s="10">
        <v>48.013245033112597</v>
      </c>
      <c r="J13" s="10">
        <v>58000</v>
      </c>
      <c r="K13" s="10">
        <v>58000</v>
      </c>
      <c r="L13" s="8">
        <v>42821</v>
      </c>
      <c r="M13" s="3" t="s">
        <v>163</v>
      </c>
      <c r="N13" s="10">
        <v>49549.668874172203</v>
      </c>
      <c r="O13" s="10">
        <v>0</v>
      </c>
      <c r="P13" s="12" t="s">
        <v>138</v>
      </c>
      <c r="Q13" s="10">
        <v>2450.33112582781</v>
      </c>
      <c r="R13" s="14">
        <v>0</v>
      </c>
      <c r="S13" s="11">
        <v>52000</v>
      </c>
      <c r="T13" s="10">
        <v>0</v>
      </c>
      <c r="U13" s="15">
        <v>1</v>
      </c>
      <c r="V13" s="12" t="s">
        <v>147</v>
      </c>
      <c r="W13" s="10">
        <v>58000</v>
      </c>
      <c r="X13" s="10">
        <v>58000</v>
      </c>
    </row>
    <row r="14" spans="1:24" ht="22" x14ac:dyDescent="0.35">
      <c r="A14" s="3">
        <v>7</v>
      </c>
      <c r="B14" s="3" t="s">
        <v>41</v>
      </c>
      <c r="C14" s="9">
        <v>42821.333333333299</v>
      </c>
      <c r="D14" s="9">
        <v>43038.708333333299</v>
      </c>
      <c r="E14" s="12" t="s">
        <v>43</v>
      </c>
      <c r="F14" s="12"/>
      <c r="G14" s="10">
        <v>0</v>
      </c>
      <c r="H14" s="10">
        <v>0</v>
      </c>
      <c r="I14" s="10">
        <v>17.628205128205099</v>
      </c>
      <c r="J14" s="10">
        <v>22000</v>
      </c>
      <c r="K14" s="10">
        <v>22000</v>
      </c>
      <c r="L14" s="8">
        <v>42821</v>
      </c>
      <c r="M14" s="3" t="s">
        <v>163</v>
      </c>
      <c r="N14" s="10">
        <v>18192.307692307699</v>
      </c>
      <c r="O14" s="10">
        <v>0</v>
      </c>
      <c r="P14" s="12" t="s">
        <v>138</v>
      </c>
      <c r="Q14" s="10">
        <v>5307.6923076923104</v>
      </c>
      <c r="R14" s="14">
        <v>0</v>
      </c>
      <c r="S14" s="11">
        <v>23500</v>
      </c>
      <c r="T14" s="10">
        <v>0</v>
      </c>
      <c r="U14" s="15">
        <v>1</v>
      </c>
      <c r="V14" s="12" t="s">
        <v>147</v>
      </c>
      <c r="W14" s="10">
        <v>22000</v>
      </c>
      <c r="X14" s="10">
        <v>22000</v>
      </c>
    </row>
    <row r="15" spans="1:24" ht="22" x14ac:dyDescent="0.35">
      <c r="A15" s="3">
        <v>8</v>
      </c>
      <c r="B15" s="3" t="s">
        <v>44</v>
      </c>
      <c r="C15" s="9">
        <v>42950.333333333299</v>
      </c>
      <c r="D15" s="9">
        <v>43112.708333333299</v>
      </c>
      <c r="E15" s="12" t="s">
        <v>46</v>
      </c>
      <c r="F15" s="12"/>
      <c r="G15" s="10">
        <v>0</v>
      </c>
      <c r="H15" s="10">
        <v>0</v>
      </c>
      <c r="I15" s="10">
        <v>58.760683760683797</v>
      </c>
      <c r="J15" s="10">
        <v>55000</v>
      </c>
      <c r="K15" s="10">
        <v>55000</v>
      </c>
      <c r="L15" s="8">
        <v>42951</v>
      </c>
      <c r="M15" s="3" t="s">
        <v>174</v>
      </c>
      <c r="N15" s="10">
        <v>34316.239316239298</v>
      </c>
      <c r="O15" s="10">
        <v>4230.7692307692296</v>
      </c>
      <c r="P15" s="12" t="s">
        <v>175</v>
      </c>
      <c r="Q15" s="10">
        <v>10628.7606837607</v>
      </c>
      <c r="R15" s="14">
        <v>0</v>
      </c>
      <c r="S15" s="11">
        <v>44945</v>
      </c>
      <c r="T15" s="10">
        <v>4230.7692307692296</v>
      </c>
      <c r="U15" s="15">
        <v>0.89</v>
      </c>
      <c r="V15" s="12" t="s">
        <v>137</v>
      </c>
      <c r="W15" s="10">
        <v>48950</v>
      </c>
      <c r="X15" s="10">
        <v>34786.324786324803</v>
      </c>
    </row>
    <row r="16" spans="1:24" ht="22" x14ac:dyDescent="0.35">
      <c r="A16" s="3">
        <v>9</v>
      </c>
      <c r="B16" s="3" t="s">
        <v>47</v>
      </c>
      <c r="C16" s="9">
        <v>42950.333333333299</v>
      </c>
      <c r="D16" s="9">
        <v>43119.708333333299</v>
      </c>
      <c r="E16" s="12" t="s">
        <v>49</v>
      </c>
      <c r="F16" s="12"/>
      <c r="G16" s="10">
        <v>0</v>
      </c>
      <c r="H16" s="10">
        <v>0</v>
      </c>
      <c r="I16" s="10">
        <v>20.491803278688501</v>
      </c>
      <c r="J16" s="10">
        <v>20000</v>
      </c>
      <c r="K16" s="10">
        <v>20000</v>
      </c>
      <c r="L16" s="8">
        <v>42951</v>
      </c>
      <c r="M16" s="3" t="s">
        <v>174</v>
      </c>
      <c r="N16" s="10">
        <v>11967.2131147541</v>
      </c>
      <c r="O16" s="10">
        <v>1475.4098360655701</v>
      </c>
      <c r="P16" s="12" t="s">
        <v>175</v>
      </c>
      <c r="Q16" s="10">
        <v>6722.7868852458996</v>
      </c>
      <c r="R16" s="14">
        <v>0</v>
      </c>
      <c r="S16" s="11">
        <v>18690</v>
      </c>
      <c r="T16" s="10">
        <v>1475.4098360655701</v>
      </c>
      <c r="U16" s="15">
        <v>0.89</v>
      </c>
      <c r="V16" s="12" t="s">
        <v>137</v>
      </c>
      <c r="W16" s="10">
        <v>17800</v>
      </c>
      <c r="X16" s="10">
        <v>12131.1475409836</v>
      </c>
    </row>
    <row r="17" spans="1:24" ht="22" x14ac:dyDescent="0.35">
      <c r="A17" s="3">
        <v>10</v>
      </c>
      <c r="B17" s="3" t="s">
        <v>50</v>
      </c>
      <c r="C17" s="9">
        <v>42944.333333333299</v>
      </c>
      <c r="D17" s="9">
        <v>43332.708333333299</v>
      </c>
      <c r="E17" s="12" t="s">
        <v>52</v>
      </c>
      <c r="F17" s="12"/>
      <c r="G17" s="10">
        <v>0</v>
      </c>
      <c r="H17" s="10">
        <v>0</v>
      </c>
      <c r="I17" s="10">
        <v>101.534296028881</v>
      </c>
      <c r="J17" s="10">
        <v>225000</v>
      </c>
      <c r="K17" s="10">
        <v>225000</v>
      </c>
      <c r="L17" s="8">
        <v>42951</v>
      </c>
      <c r="M17" s="3" t="s">
        <v>174</v>
      </c>
      <c r="N17" s="10">
        <v>59296.028880866397</v>
      </c>
      <c r="O17" s="10">
        <v>78587.545126353798</v>
      </c>
      <c r="P17" s="12" t="s">
        <v>176</v>
      </c>
      <c r="Q17" s="10">
        <v>43903.971119133603</v>
      </c>
      <c r="R17" s="14">
        <v>0</v>
      </c>
      <c r="S17" s="11">
        <v>103200</v>
      </c>
      <c r="T17" s="10">
        <v>78587.545126353798</v>
      </c>
      <c r="U17" s="15">
        <v>0.43</v>
      </c>
      <c r="V17" s="12" t="s">
        <v>137</v>
      </c>
      <c r="W17" s="10">
        <v>96750</v>
      </c>
      <c r="X17" s="10">
        <v>63357.400722021703</v>
      </c>
    </row>
    <row r="18" spans="1:24" ht="22" x14ac:dyDescent="0.35">
      <c r="A18" s="3">
        <v>11</v>
      </c>
      <c r="B18" s="3" t="s">
        <v>53</v>
      </c>
      <c r="C18" s="9">
        <v>43031.333333333299</v>
      </c>
      <c r="D18" s="9">
        <v>43168.708333333299</v>
      </c>
      <c r="E18" s="12" t="s">
        <v>55</v>
      </c>
      <c r="F18" s="12"/>
      <c r="G18" s="10">
        <v>0</v>
      </c>
      <c r="H18" s="10">
        <v>0</v>
      </c>
      <c r="I18" s="10">
        <v>10</v>
      </c>
      <c r="J18" s="10">
        <v>8000</v>
      </c>
      <c r="K18" s="10">
        <v>8000</v>
      </c>
      <c r="L18" s="8">
        <v>43031</v>
      </c>
      <c r="M18" s="3" t="s">
        <v>177</v>
      </c>
      <c r="N18" s="10">
        <v>1360</v>
      </c>
      <c r="O18" s="10">
        <v>9100</v>
      </c>
      <c r="P18" s="12" t="s">
        <v>178</v>
      </c>
      <c r="Q18" s="10">
        <v>-164</v>
      </c>
      <c r="R18" s="14">
        <v>0</v>
      </c>
      <c r="S18" s="11">
        <v>1196</v>
      </c>
      <c r="T18" s="10">
        <v>9100</v>
      </c>
      <c r="U18" s="15">
        <v>0.13</v>
      </c>
      <c r="V18" s="12" t="s">
        <v>137</v>
      </c>
      <c r="W18" s="10">
        <v>1040</v>
      </c>
      <c r="X18" s="10">
        <v>1360</v>
      </c>
    </row>
    <row r="19" spans="1:24" ht="32.5" x14ac:dyDescent="0.35">
      <c r="A19" s="3">
        <v>12</v>
      </c>
      <c r="B19" s="3" t="s">
        <v>56</v>
      </c>
      <c r="C19" s="9">
        <v>43031.333333333299</v>
      </c>
      <c r="D19" s="9">
        <v>43168.708333333299</v>
      </c>
      <c r="E19" s="12" t="s">
        <v>55</v>
      </c>
      <c r="F19" s="12"/>
      <c r="G19" s="10">
        <v>0</v>
      </c>
      <c r="H19" s="10">
        <v>0</v>
      </c>
      <c r="I19" s="10">
        <v>43.75</v>
      </c>
      <c r="J19" s="10">
        <v>35000</v>
      </c>
      <c r="K19" s="10">
        <v>35000</v>
      </c>
      <c r="L19" s="8">
        <v>43031</v>
      </c>
      <c r="M19" s="3" t="s">
        <v>177</v>
      </c>
      <c r="N19" s="10">
        <v>5950</v>
      </c>
      <c r="O19" s="10">
        <v>25375</v>
      </c>
      <c r="P19" s="12" t="s">
        <v>179</v>
      </c>
      <c r="Q19" s="10">
        <v>-288</v>
      </c>
      <c r="R19" s="14">
        <v>0</v>
      </c>
      <c r="S19" s="11">
        <v>5662</v>
      </c>
      <c r="T19" s="10">
        <v>25375</v>
      </c>
      <c r="U19" s="15">
        <v>0.19</v>
      </c>
      <c r="V19" s="12" t="s">
        <v>137</v>
      </c>
      <c r="W19" s="10">
        <v>6650</v>
      </c>
      <c r="X19" s="10">
        <v>5950</v>
      </c>
    </row>
    <row r="20" spans="1:24" x14ac:dyDescent="0.35">
      <c r="A20" s="3">
        <v>13</v>
      </c>
      <c r="B20" s="3" t="s">
        <v>58</v>
      </c>
      <c r="C20" s="9">
        <v>42968.333333333299</v>
      </c>
      <c r="D20" s="9">
        <v>43182.708333333299</v>
      </c>
      <c r="E20" s="12" t="s">
        <v>60</v>
      </c>
      <c r="F20" s="12"/>
      <c r="G20" s="10">
        <v>0</v>
      </c>
      <c r="H20" s="10">
        <v>0</v>
      </c>
      <c r="I20" s="10">
        <v>278.22580645161298</v>
      </c>
      <c r="J20" s="10">
        <v>345000</v>
      </c>
      <c r="K20" s="10">
        <v>345000</v>
      </c>
      <c r="L20" s="8">
        <v>42968</v>
      </c>
      <c r="M20" s="3" t="s">
        <v>180</v>
      </c>
      <c r="N20" s="10">
        <v>138000</v>
      </c>
      <c r="O20" s="10">
        <v>132713.70967741901</v>
      </c>
      <c r="P20" s="12" t="s">
        <v>181</v>
      </c>
      <c r="Q20" s="10">
        <v>31320</v>
      </c>
      <c r="R20" s="14">
        <v>0</v>
      </c>
      <c r="S20" s="11">
        <v>169320</v>
      </c>
      <c r="T20" s="10">
        <v>132713.70967741901</v>
      </c>
      <c r="U20" s="15">
        <v>0.51</v>
      </c>
      <c r="V20" s="12" t="s">
        <v>137</v>
      </c>
      <c r="W20" s="10">
        <v>175950</v>
      </c>
      <c r="X20" s="10">
        <v>138000</v>
      </c>
    </row>
    <row r="21" spans="1:24" ht="22" x14ac:dyDescent="0.35">
      <c r="A21" s="3">
        <v>14</v>
      </c>
      <c r="B21" s="3" t="s">
        <v>61</v>
      </c>
      <c r="C21" s="9">
        <v>42968.333333333299</v>
      </c>
      <c r="D21" s="9">
        <v>43179.708333333299</v>
      </c>
      <c r="E21" s="12" t="s">
        <v>63</v>
      </c>
      <c r="F21" s="12"/>
      <c r="G21" s="10">
        <v>0</v>
      </c>
      <c r="H21" s="10">
        <v>0</v>
      </c>
      <c r="I21" s="10">
        <v>37.006578947368403</v>
      </c>
      <c r="J21" s="10">
        <v>45000</v>
      </c>
      <c r="K21" s="10">
        <v>45000</v>
      </c>
      <c r="L21" s="8">
        <v>42968</v>
      </c>
      <c r="M21" s="3" t="s">
        <v>180</v>
      </c>
      <c r="N21" s="10">
        <v>18355.2631578947</v>
      </c>
      <c r="O21" s="10">
        <v>42816.611842105303</v>
      </c>
      <c r="P21" s="12" t="s">
        <v>182</v>
      </c>
      <c r="Q21" s="10">
        <v>-1645.2631578947401</v>
      </c>
      <c r="R21" s="14">
        <v>0</v>
      </c>
      <c r="S21" s="11">
        <v>16710</v>
      </c>
      <c r="T21" s="10">
        <v>42816.611842105303</v>
      </c>
      <c r="U21" s="15">
        <v>0.3</v>
      </c>
      <c r="V21" s="12" t="s">
        <v>137</v>
      </c>
      <c r="W21" s="10">
        <v>13500</v>
      </c>
      <c r="X21" s="10">
        <v>18355.2631578947</v>
      </c>
    </row>
    <row r="22" spans="1:24" ht="22" x14ac:dyDescent="0.35">
      <c r="A22" s="3">
        <v>15</v>
      </c>
      <c r="B22" s="3" t="s">
        <v>64</v>
      </c>
      <c r="C22" s="9">
        <v>43003.333333333299</v>
      </c>
      <c r="D22" s="9">
        <v>43179.708333333299</v>
      </c>
      <c r="E22" s="12" t="s">
        <v>66</v>
      </c>
      <c r="F22" s="12"/>
      <c r="G22" s="10">
        <v>0</v>
      </c>
      <c r="H22" s="10">
        <v>0</v>
      </c>
      <c r="I22" s="10">
        <v>8.8582677165354298</v>
      </c>
      <c r="J22" s="10">
        <v>9000</v>
      </c>
      <c r="K22" s="10">
        <v>9000</v>
      </c>
      <c r="L22" s="8">
        <v>42951</v>
      </c>
      <c r="M22" s="3" t="s">
        <v>174</v>
      </c>
      <c r="N22" s="10">
        <v>5173.2283464566899</v>
      </c>
      <c r="O22" s="10">
        <v>18345.472440944901</v>
      </c>
      <c r="P22" s="12" t="s">
        <v>183</v>
      </c>
      <c r="Q22" s="10">
        <v>-3193.2283464566899</v>
      </c>
      <c r="R22" s="14">
        <v>0</v>
      </c>
      <c r="S22" s="11">
        <v>1980</v>
      </c>
      <c r="T22" s="10">
        <v>18345.472440944901</v>
      </c>
      <c r="U22" s="15">
        <v>0.22</v>
      </c>
      <c r="V22" s="12" t="s">
        <v>137</v>
      </c>
      <c r="W22" s="10">
        <v>1980</v>
      </c>
      <c r="X22" s="10">
        <v>2622.04724409449</v>
      </c>
    </row>
    <row r="23" spans="1:24" x14ac:dyDescent="0.35">
      <c r="A23" s="3">
        <v>16</v>
      </c>
      <c r="B23" s="3" t="s">
        <v>67</v>
      </c>
      <c r="C23" s="9">
        <v>43003.333333333299</v>
      </c>
      <c r="D23" s="9">
        <v>43297.708333333299</v>
      </c>
      <c r="E23" s="12" t="s">
        <v>69</v>
      </c>
      <c r="F23" s="12"/>
      <c r="G23" s="10">
        <v>0</v>
      </c>
      <c r="H23" s="10">
        <v>0</v>
      </c>
      <c r="I23" s="10">
        <v>52.725118483412302</v>
      </c>
      <c r="J23" s="10">
        <v>89000</v>
      </c>
      <c r="K23" s="10">
        <v>89000</v>
      </c>
      <c r="L23" s="8">
        <v>43003</v>
      </c>
      <c r="M23" s="3" t="s">
        <v>184</v>
      </c>
      <c r="N23" s="10">
        <v>15606.635071090001</v>
      </c>
      <c r="O23" s="10">
        <v>42180.094786729896</v>
      </c>
      <c r="P23" s="12" t="s">
        <v>55</v>
      </c>
      <c r="Q23" s="10">
        <v>12473.364928909999</v>
      </c>
      <c r="R23" s="14">
        <v>0</v>
      </c>
      <c r="S23" s="11">
        <v>28080</v>
      </c>
      <c r="T23" s="10">
        <v>42180.094786729896</v>
      </c>
      <c r="U23" s="15">
        <v>0.27</v>
      </c>
      <c r="V23" s="12" t="s">
        <v>137</v>
      </c>
      <c r="W23" s="10">
        <v>24030</v>
      </c>
      <c r="X23" s="10">
        <v>15606.635071090001</v>
      </c>
    </row>
    <row r="24" spans="1:24" ht="22" x14ac:dyDescent="0.35">
      <c r="A24" s="3">
        <v>17</v>
      </c>
      <c r="B24" s="3" t="s">
        <v>70</v>
      </c>
      <c r="C24" s="9">
        <v>43003.333333333299</v>
      </c>
      <c r="D24" s="9">
        <v>43147.708333333299</v>
      </c>
      <c r="E24" s="12" t="s">
        <v>72</v>
      </c>
      <c r="F24" s="12"/>
      <c r="G24" s="10">
        <v>0</v>
      </c>
      <c r="H24" s="10">
        <v>0</v>
      </c>
      <c r="I24" s="10">
        <v>59.523809523809497</v>
      </c>
      <c r="J24" s="10">
        <v>50000</v>
      </c>
      <c r="K24" s="10">
        <v>50000</v>
      </c>
      <c r="L24" s="8">
        <v>43003</v>
      </c>
      <c r="M24" s="3" t="s">
        <v>184</v>
      </c>
      <c r="N24" s="10">
        <v>17619.0476190476</v>
      </c>
      <c r="O24" s="10">
        <v>35773.809523809497</v>
      </c>
      <c r="P24" s="12" t="s">
        <v>185</v>
      </c>
      <c r="Q24" s="10">
        <v>-3610.5476190476202</v>
      </c>
      <c r="R24" s="14">
        <v>0</v>
      </c>
      <c r="S24" s="11">
        <v>14008.5</v>
      </c>
      <c r="T24" s="10">
        <v>35773.809523809497</v>
      </c>
      <c r="U24" s="15">
        <v>0.33</v>
      </c>
      <c r="V24" s="12" t="s">
        <v>137</v>
      </c>
      <c r="W24" s="10">
        <v>16500</v>
      </c>
      <c r="X24" s="10">
        <v>17619.0476190476</v>
      </c>
    </row>
    <row r="25" spans="1:24" ht="22" x14ac:dyDescent="0.35">
      <c r="A25" s="3">
        <v>18</v>
      </c>
      <c r="B25" s="3" t="s">
        <v>73</v>
      </c>
      <c r="C25" s="9">
        <v>43003.333333333299</v>
      </c>
      <c r="D25" s="9">
        <v>43147.708333333299</v>
      </c>
      <c r="E25" s="12" t="s">
        <v>72</v>
      </c>
      <c r="F25" s="12"/>
      <c r="G25" s="10">
        <v>0</v>
      </c>
      <c r="H25" s="10">
        <v>0</v>
      </c>
      <c r="I25" s="10">
        <v>35.714285714285701</v>
      </c>
      <c r="J25" s="10">
        <v>30000</v>
      </c>
      <c r="K25" s="10">
        <v>30000</v>
      </c>
      <c r="L25" s="8">
        <v>43003</v>
      </c>
      <c r="M25" s="3" t="s">
        <v>184</v>
      </c>
      <c r="N25" s="10">
        <v>10571.4285714286</v>
      </c>
      <c r="O25" s="10">
        <v>22464.285714285699</v>
      </c>
      <c r="P25" s="12" t="s">
        <v>186</v>
      </c>
      <c r="Q25" s="10">
        <v>-5451.4285714285697</v>
      </c>
      <c r="R25" s="14">
        <v>0</v>
      </c>
      <c r="S25" s="11">
        <v>5120</v>
      </c>
      <c r="T25" s="10">
        <v>22464.285714285699</v>
      </c>
      <c r="U25" s="15">
        <v>0.32</v>
      </c>
      <c r="V25" s="12" t="s">
        <v>137</v>
      </c>
      <c r="W25" s="10">
        <v>9600</v>
      </c>
      <c r="X25" s="10">
        <v>10571.4285714286</v>
      </c>
    </row>
    <row r="26" spans="1:24" ht="22" x14ac:dyDescent="0.35">
      <c r="A26" s="3">
        <v>19</v>
      </c>
      <c r="B26" s="3" t="s">
        <v>75</v>
      </c>
      <c r="C26" s="9">
        <v>43059.333333333299</v>
      </c>
      <c r="D26" s="9">
        <v>43238.708333333299</v>
      </c>
      <c r="E26" s="12" t="s">
        <v>77</v>
      </c>
      <c r="F26" s="12"/>
      <c r="G26" s="10">
        <v>0</v>
      </c>
      <c r="H26" s="10">
        <v>0</v>
      </c>
      <c r="I26" s="10">
        <v>38.461538461538503</v>
      </c>
      <c r="J26" s="10">
        <v>40000</v>
      </c>
      <c r="K26" s="10">
        <v>40000</v>
      </c>
      <c r="L26" s="8">
        <v>42999</v>
      </c>
      <c r="M26" s="3" t="s">
        <v>187</v>
      </c>
      <c r="N26" s="10">
        <v>12000</v>
      </c>
      <c r="O26" s="10">
        <v>138000</v>
      </c>
      <c r="P26" s="12" t="s">
        <v>188</v>
      </c>
      <c r="Q26" s="10">
        <v>-7840</v>
      </c>
      <c r="R26" s="14">
        <v>0</v>
      </c>
      <c r="S26" s="11">
        <v>4160</v>
      </c>
      <c r="T26" s="10">
        <v>138000</v>
      </c>
      <c r="U26" s="15">
        <v>0.08</v>
      </c>
      <c r="V26" s="12" t="s">
        <v>137</v>
      </c>
      <c r="W26" s="10">
        <v>3200</v>
      </c>
      <c r="X26" s="10">
        <v>0</v>
      </c>
    </row>
    <row r="27" spans="1:24" x14ac:dyDescent="0.35">
      <c r="A27" s="3">
        <v>20</v>
      </c>
      <c r="B27" s="3" t="s">
        <v>78</v>
      </c>
      <c r="C27" s="9">
        <v>43045.333333333299</v>
      </c>
      <c r="D27" s="9">
        <v>43070.708333333299</v>
      </c>
      <c r="E27" s="12" t="s">
        <v>80</v>
      </c>
      <c r="F27" s="12"/>
      <c r="G27" s="10">
        <v>0</v>
      </c>
      <c r="H27" s="10">
        <v>0</v>
      </c>
      <c r="I27" s="10">
        <v>156.25</v>
      </c>
      <c r="J27" s="10">
        <v>25000</v>
      </c>
      <c r="K27" s="10">
        <v>25000</v>
      </c>
      <c r="L27" s="8">
        <v>43045</v>
      </c>
      <c r="M27" s="3" t="s">
        <v>189</v>
      </c>
      <c r="N27" s="10">
        <v>8750</v>
      </c>
      <c r="O27" s="10">
        <v>35000</v>
      </c>
      <c r="P27" s="12" t="s">
        <v>190</v>
      </c>
      <c r="Q27" s="10">
        <v>-3150</v>
      </c>
      <c r="R27" s="14">
        <v>0</v>
      </c>
      <c r="S27" s="11">
        <v>5600</v>
      </c>
      <c r="T27" s="10">
        <v>35000</v>
      </c>
      <c r="U27" s="15">
        <v>0.2</v>
      </c>
      <c r="V27" s="12" t="s">
        <v>137</v>
      </c>
      <c r="W27" s="10">
        <v>5000</v>
      </c>
      <c r="X27" s="10">
        <v>8750</v>
      </c>
    </row>
    <row r="28" spans="1:24" x14ac:dyDescent="0.35">
      <c r="A28" s="3">
        <v>21</v>
      </c>
      <c r="B28" s="3" t="s">
        <v>81</v>
      </c>
      <c r="C28" s="9">
        <v>43119.333333333299</v>
      </c>
      <c r="D28" s="9">
        <v>43207.708333333299</v>
      </c>
      <c r="E28" s="12" t="s">
        <v>83</v>
      </c>
      <c r="F28" s="12"/>
      <c r="G28" s="10">
        <v>0</v>
      </c>
      <c r="H28" s="10">
        <v>0</v>
      </c>
      <c r="I28" s="10">
        <v>49.603174603174601</v>
      </c>
      <c r="J28" s="10">
        <v>25000</v>
      </c>
      <c r="K28" s="10">
        <v>25000</v>
      </c>
      <c r="L28" s="3"/>
      <c r="M28" s="3" t="s">
        <v>138</v>
      </c>
      <c r="N28" s="10">
        <v>0</v>
      </c>
      <c r="O28" s="10">
        <v>25000</v>
      </c>
      <c r="P28" s="12" t="s">
        <v>83</v>
      </c>
      <c r="Q28" s="10">
        <v>0</v>
      </c>
      <c r="R28" s="14">
        <v>0</v>
      </c>
      <c r="S28" s="11">
        <v>0</v>
      </c>
      <c r="T28" s="10">
        <v>25000</v>
      </c>
      <c r="U28" s="15">
        <v>0</v>
      </c>
      <c r="V28" s="12" t="s">
        <v>139</v>
      </c>
      <c r="W28" s="10">
        <v>0</v>
      </c>
      <c r="X28" s="10">
        <v>0</v>
      </c>
    </row>
    <row r="29" spans="1:24" ht="22" x14ac:dyDescent="0.35">
      <c r="A29" s="3">
        <v>22</v>
      </c>
      <c r="B29" s="3" t="s">
        <v>84</v>
      </c>
      <c r="C29" s="9">
        <v>43070.333333333299</v>
      </c>
      <c r="D29" s="9">
        <v>43098.708333333299</v>
      </c>
      <c r="E29" s="12" t="s">
        <v>26</v>
      </c>
      <c r="F29" s="12"/>
      <c r="G29" s="10">
        <v>0</v>
      </c>
      <c r="H29" s="10">
        <v>0</v>
      </c>
      <c r="I29" s="10">
        <v>107.142857142857</v>
      </c>
      <c r="J29" s="10">
        <v>18000</v>
      </c>
      <c r="K29" s="10">
        <v>18000</v>
      </c>
      <c r="L29" s="3"/>
      <c r="M29" s="3" t="s">
        <v>138</v>
      </c>
      <c r="N29" s="10">
        <v>0</v>
      </c>
      <c r="O29" s="10">
        <v>18000</v>
      </c>
      <c r="P29" s="12" t="s">
        <v>26</v>
      </c>
      <c r="Q29" s="10">
        <v>0</v>
      </c>
      <c r="R29" s="14">
        <v>0</v>
      </c>
      <c r="S29" s="11">
        <v>0</v>
      </c>
      <c r="T29" s="10">
        <v>18000</v>
      </c>
      <c r="U29" s="15">
        <v>0</v>
      </c>
      <c r="V29" s="12" t="s">
        <v>139</v>
      </c>
      <c r="W29" s="10">
        <v>0</v>
      </c>
      <c r="X29" s="10">
        <v>0</v>
      </c>
    </row>
    <row r="30" spans="1:24" ht="22" x14ac:dyDescent="0.35">
      <c r="A30" s="3">
        <v>23</v>
      </c>
      <c r="B30" s="3" t="s">
        <v>86</v>
      </c>
      <c r="C30" s="9">
        <v>43332.333333333299</v>
      </c>
      <c r="D30" s="9">
        <v>43343.708333333299</v>
      </c>
      <c r="E30" s="12" t="s">
        <v>88</v>
      </c>
      <c r="F30" s="12"/>
      <c r="G30" s="10">
        <v>0</v>
      </c>
      <c r="H30" s="10">
        <v>0</v>
      </c>
      <c r="I30" s="10">
        <v>1562.5</v>
      </c>
      <c r="J30" s="10">
        <v>125000</v>
      </c>
      <c r="K30" s="10">
        <v>125000</v>
      </c>
      <c r="L30" s="3"/>
      <c r="M30" s="3" t="s">
        <v>138</v>
      </c>
      <c r="N30" s="10">
        <v>0</v>
      </c>
      <c r="O30" s="10">
        <v>125000</v>
      </c>
      <c r="P30" s="12" t="s">
        <v>88</v>
      </c>
      <c r="Q30" s="10">
        <v>0</v>
      </c>
      <c r="R30" s="14">
        <v>0</v>
      </c>
      <c r="S30" s="11">
        <v>0</v>
      </c>
      <c r="T30" s="10">
        <v>125000</v>
      </c>
      <c r="U30" s="15">
        <v>0</v>
      </c>
      <c r="V30" s="12" t="s">
        <v>139</v>
      </c>
      <c r="W30" s="10">
        <v>0</v>
      </c>
      <c r="X30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0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119</v>
      </c>
      <c r="C1" s="8">
        <v>43151.708333333299</v>
      </c>
      <c r="E1" s="1" t="s">
        <v>120</v>
      </c>
      <c r="F1" s="4" t="s">
        <v>191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121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122</v>
      </c>
      <c r="M4" s="1" t="s">
        <v>123</v>
      </c>
      <c r="N4" s="1" t="s">
        <v>124</v>
      </c>
      <c r="O4" s="1" t="s">
        <v>125</v>
      </c>
      <c r="P4" s="1" t="s">
        <v>126</v>
      </c>
      <c r="Q4" s="1" t="s">
        <v>127</v>
      </c>
      <c r="R4" s="1" t="s">
        <v>128</v>
      </c>
      <c r="S4" s="1" t="s">
        <v>129</v>
      </c>
      <c r="T4" s="1" t="s">
        <v>130</v>
      </c>
      <c r="U4" s="1" t="s">
        <v>131</v>
      </c>
      <c r="V4" s="1" t="s">
        <v>121</v>
      </c>
      <c r="W4" s="1" t="s">
        <v>132</v>
      </c>
      <c r="X4" s="1" t="s">
        <v>133</v>
      </c>
    </row>
    <row r="5" spans="1:24" ht="22" x14ac:dyDescent="0.35">
      <c r="A5" s="2">
        <v>0</v>
      </c>
      <c r="B5" s="3" t="s">
        <v>18</v>
      </c>
      <c r="C5" s="5">
        <v>42674.333333333299</v>
      </c>
      <c r="D5" s="5">
        <v>43343.708333333299</v>
      </c>
      <c r="E5" s="2" t="s">
        <v>20</v>
      </c>
      <c r="F5" s="2"/>
      <c r="G5" s="6"/>
      <c r="H5" s="6">
        <v>0</v>
      </c>
      <c r="I5" s="6"/>
      <c r="J5" s="6"/>
      <c r="K5" s="6">
        <v>1512000</v>
      </c>
      <c r="L5" s="2"/>
      <c r="M5" s="2" t="s">
        <v>192</v>
      </c>
      <c r="N5" s="6"/>
      <c r="O5" s="6"/>
      <c r="P5" s="2"/>
      <c r="Q5" s="6"/>
      <c r="R5" s="6"/>
      <c r="S5" s="6">
        <v>1129790</v>
      </c>
      <c r="T5" s="6"/>
      <c r="U5" s="13">
        <v>0.74499338624338596</v>
      </c>
      <c r="V5" s="2"/>
      <c r="W5" s="6">
        <v>1126430</v>
      </c>
      <c r="X5" s="6">
        <v>1138969.75280904</v>
      </c>
    </row>
    <row r="6" spans="1:24" x14ac:dyDescent="0.35">
      <c r="A6" s="3">
        <v>1</v>
      </c>
      <c r="B6" s="3" t="s">
        <v>21</v>
      </c>
      <c r="C6" s="9">
        <v>42674.333333333299</v>
      </c>
      <c r="D6" s="9">
        <v>43080.708333333299</v>
      </c>
      <c r="E6" s="12" t="s">
        <v>23</v>
      </c>
      <c r="F6" s="12"/>
      <c r="G6" s="10">
        <v>0</v>
      </c>
      <c r="H6" s="10">
        <v>0</v>
      </c>
      <c r="I6" s="10">
        <v>67.439862542955296</v>
      </c>
      <c r="J6" s="10">
        <v>157000</v>
      </c>
      <c r="K6" s="10">
        <v>157000</v>
      </c>
      <c r="L6" s="8">
        <v>42674</v>
      </c>
      <c r="M6" s="3" t="s">
        <v>173</v>
      </c>
      <c r="N6" s="10">
        <v>146749.14089347099</v>
      </c>
      <c r="O6" s="10">
        <v>0</v>
      </c>
      <c r="P6" s="12" t="s">
        <v>138</v>
      </c>
      <c r="Q6" s="10">
        <v>25350.859106529198</v>
      </c>
      <c r="R6" s="14">
        <v>0</v>
      </c>
      <c r="S6" s="11">
        <v>172100</v>
      </c>
      <c r="T6" s="10">
        <v>0</v>
      </c>
      <c r="U6" s="15">
        <v>1</v>
      </c>
      <c r="V6" s="12" t="s">
        <v>147</v>
      </c>
      <c r="W6" s="10">
        <v>157000</v>
      </c>
      <c r="X6" s="10">
        <v>157000</v>
      </c>
    </row>
    <row r="7" spans="1:24" x14ac:dyDescent="0.35">
      <c r="A7" s="4">
        <v>26</v>
      </c>
      <c r="B7" s="4" t="s">
        <v>24</v>
      </c>
      <c r="C7" s="5">
        <v>42793.333333333299</v>
      </c>
      <c r="D7" s="5">
        <v>42821.708333333299</v>
      </c>
      <c r="E7" s="2" t="s">
        <v>26</v>
      </c>
      <c r="F7" s="2"/>
      <c r="G7" s="6"/>
      <c r="H7" s="6">
        <v>0</v>
      </c>
      <c r="I7" s="6"/>
      <c r="J7" s="6"/>
      <c r="K7" s="6">
        <v>71000</v>
      </c>
      <c r="L7" s="2"/>
      <c r="M7" s="2" t="s">
        <v>146</v>
      </c>
      <c r="N7" s="6"/>
      <c r="O7" s="6"/>
      <c r="P7" s="2"/>
      <c r="Q7" s="6"/>
      <c r="R7" s="6"/>
      <c r="S7" s="6">
        <v>69070</v>
      </c>
      <c r="T7" s="6"/>
      <c r="U7" s="13">
        <v>1</v>
      </c>
      <c r="V7" s="2"/>
      <c r="W7" s="6">
        <v>71000</v>
      </c>
      <c r="X7" s="6">
        <v>71000</v>
      </c>
    </row>
    <row r="8" spans="1:24" ht="22" x14ac:dyDescent="0.35">
      <c r="A8" s="3">
        <v>2</v>
      </c>
      <c r="B8" s="3" t="s">
        <v>27</v>
      </c>
      <c r="C8" s="9">
        <v>42793.333333333299</v>
      </c>
      <c r="D8" s="9">
        <v>42793.708333333299</v>
      </c>
      <c r="E8" s="12" t="s">
        <v>29</v>
      </c>
      <c r="F8" s="12"/>
      <c r="G8" s="10">
        <v>0</v>
      </c>
      <c r="H8" s="10">
        <v>0</v>
      </c>
      <c r="I8" s="10">
        <v>1875</v>
      </c>
      <c r="J8" s="10">
        <v>15000</v>
      </c>
      <c r="K8" s="10">
        <v>15000</v>
      </c>
      <c r="L8" s="8">
        <v>42793</v>
      </c>
      <c r="M8" s="3" t="s">
        <v>146</v>
      </c>
      <c r="N8" s="10">
        <v>570000</v>
      </c>
      <c r="O8" s="10">
        <v>0</v>
      </c>
      <c r="P8" s="12" t="s">
        <v>138</v>
      </c>
      <c r="Q8" s="10">
        <v>-553600</v>
      </c>
      <c r="R8" s="14">
        <v>0</v>
      </c>
      <c r="S8" s="11">
        <v>16400</v>
      </c>
      <c r="T8" s="10">
        <v>0</v>
      </c>
      <c r="U8" s="15">
        <v>1</v>
      </c>
      <c r="V8" s="12" t="s">
        <v>147</v>
      </c>
      <c r="W8" s="10">
        <v>15000</v>
      </c>
      <c r="X8" s="10">
        <v>15000</v>
      </c>
    </row>
    <row r="9" spans="1:24" ht="32.5" x14ac:dyDescent="0.35">
      <c r="A9" s="3">
        <v>3</v>
      </c>
      <c r="B9" s="3" t="s">
        <v>30</v>
      </c>
      <c r="C9" s="9">
        <v>42793.333333333299</v>
      </c>
      <c r="D9" s="9">
        <v>42821.708333333299</v>
      </c>
      <c r="E9" s="12" t="s">
        <v>26</v>
      </c>
      <c r="F9" s="12"/>
      <c r="G9" s="10">
        <v>0</v>
      </c>
      <c r="H9" s="10">
        <v>0</v>
      </c>
      <c r="I9" s="10">
        <v>333.33333333333297</v>
      </c>
      <c r="J9" s="10">
        <v>56000</v>
      </c>
      <c r="K9" s="10">
        <v>56000</v>
      </c>
      <c r="L9" s="8">
        <v>42793</v>
      </c>
      <c r="M9" s="3" t="s">
        <v>146</v>
      </c>
      <c r="N9" s="10">
        <v>101333.33333333299</v>
      </c>
      <c r="O9" s="10">
        <v>0</v>
      </c>
      <c r="P9" s="12" t="s">
        <v>138</v>
      </c>
      <c r="Q9" s="10">
        <v>-48663.333333333299</v>
      </c>
      <c r="R9" s="14">
        <v>0</v>
      </c>
      <c r="S9" s="11">
        <v>52670</v>
      </c>
      <c r="T9" s="10">
        <v>0</v>
      </c>
      <c r="U9" s="15">
        <v>1</v>
      </c>
      <c r="V9" s="12" t="s">
        <v>147</v>
      </c>
      <c r="W9" s="10">
        <v>56000</v>
      </c>
      <c r="X9" s="10">
        <v>56000</v>
      </c>
    </row>
    <row r="10" spans="1:24" x14ac:dyDescent="0.35">
      <c r="A10" s="4">
        <v>27</v>
      </c>
      <c r="B10" s="4" t="s">
        <v>32</v>
      </c>
      <c r="C10" s="5">
        <v>42922.333333333299</v>
      </c>
      <c r="D10" s="5">
        <v>42950.708333333299</v>
      </c>
      <c r="E10" s="2" t="s">
        <v>26</v>
      </c>
      <c r="F10" s="2"/>
      <c r="G10" s="6"/>
      <c r="H10" s="6">
        <v>0</v>
      </c>
      <c r="I10" s="6"/>
      <c r="J10" s="6"/>
      <c r="K10" s="6">
        <v>60000</v>
      </c>
      <c r="L10" s="2"/>
      <c r="M10" s="2" t="s">
        <v>162</v>
      </c>
      <c r="N10" s="6"/>
      <c r="O10" s="6"/>
      <c r="P10" s="2"/>
      <c r="Q10" s="6"/>
      <c r="R10" s="6"/>
      <c r="S10" s="6">
        <v>55350</v>
      </c>
      <c r="T10" s="6"/>
      <c r="U10" s="13">
        <v>1</v>
      </c>
      <c r="V10" s="2"/>
      <c r="W10" s="6">
        <v>60000</v>
      </c>
      <c r="X10" s="6">
        <v>60000</v>
      </c>
    </row>
    <row r="11" spans="1:24" ht="22" x14ac:dyDescent="0.35">
      <c r="A11" s="3">
        <v>4</v>
      </c>
      <c r="B11" s="3" t="s">
        <v>34</v>
      </c>
      <c r="C11" s="9">
        <v>42922.333333333299</v>
      </c>
      <c r="D11" s="9">
        <v>42922.708333333299</v>
      </c>
      <c r="E11" s="12" t="s">
        <v>29</v>
      </c>
      <c r="F11" s="12"/>
      <c r="G11" s="10">
        <v>0</v>
      </c>
      <c r="H11" s="10">
        <v>0</v>
      </c>
      <c r="I11" s="10">
        <v>1875</v>
      </c>
      <c r="J11" s="10">
        <v>15000</v>
      </c>
      <c r="K11" s="10">
        <v>15000</v>
      </c>
      <c r="L11" s="8">
        <v>42922</v>
      </c>
      <c r="M11" s="3" t="s">
        <v>154</v>
      </c>
      <c r="N11" s="10">
        <v>330000</v>
      </c>
      <c r="O11" s="10">
        <v>0</v>
      </c>
      <c r="P11" s="12" t="s">
        <v>138</v>
      </c>
      <c r="Q11" s="10">
        <v>-315650</v>
      </c>
      <c r="R11" s="14">
        <v>0</v>
      </c>
      <c r="S11" s="11">
        <v>14350</v>
      </c>
      <c r="T11" s="10">
        <v>0</v>
      </c>
      <c r="U11" s="15">
        <v>1</v>
      </c>
      <c r="V11" s="12" t="s">
        <v>147</v>
      </c>
      <c r="W11" s="10">
        <v>15000</v>
      </c>
      <c r="X11" s="10">
        <v>15000</v>
      </c>
    </row>
    <row r="12" spans="1:24" ht="32.5" x14ac:dyDescent="0.35">
      <c r="A12" s="3">
        <v>5</v>
      </c>
      <c r="B12" s="3" t="s">
        <v>36</v>
      </c>
      <c r="C12" s="9">
        <v>42922.333333333299</v>
      </c>
      <c r="D12" s="9">
        <v>42950.708333333299</v>
      </c>
      <c r="E12" s="12" t="s">
        <v>26</v>
      </c>
      <c r="F12" s="12"/>
      <c r="G12" s="10">
        <v>0</v>
      </c>
      <c r="H12" s="10">
        <v>0</v>
      </c>
      <c r="I12" s="10">
        <v>267.857142857143</v>
      </c>
      <c r="J12" s="10">
        <v>45000</v>
      </c>
      <c r="K12" s="10">
        <v>45000</v>
      </c>
      <c r="L12" s="8">
        <v>42922</v>
      </c>
      <c r="M12" s="3" t="s">
        <v>162</v>
      </c>
      <c r="N12" s="10">
        <v>120000</v>
      </c>
      <c r="O12" s="10">
        <v>0</v>
      </c>
      <c r="P12" s="12" t="s">
        <v>138</v>
      </c>
      <c r="Q12" s="10">
        <v>-79000</v>
      </c>
      <c r="R12" s="14">
        <v>0</v>
      </c>
      <c r="S12" s="11">
        <v>41000</v>
      </c>
      <c r="T12" s="10">
        <v>0</v>
      </c>
      <c r="U12" s="15">
        <v>1</v>
      </c>
      <c r="V12" s="12" t="s">
        <v>147</v>
      </c>
      <c r="W12" s="10">
        <v>45000</v>
      </c>
      <c r="X12" s="10">
        <v>45000</v>
      </c>
    </row>
    <row r="13" spans="1:24" ht="22" x14ac:dyDescent="0.35">
      <c r="A13" s="3">
        <v>6</v>
      </c>
      <c r="B13" s="3" t="s">
        <v>38</v>
      </c>
      <c r="C13" s="9">
        <v>42821.333333333299</v>
      </c>
      <c r="D13" s="9">
        <v>43031.708333333299</v>
      </c>
      <c r="E13" s="12" t="s">
        <v>40</v>
      </c>
      <c r="F13" s="12"/>
      <c r="G13" s="10">
        <v>0</v>
      </c>
      <c r="H13" s="10">
        <v>0</v>
      </c>
      <c r="I13" s="10">
        <v>48.013245033112597</v>
      </c>
      <c r="J13" s="10">
        <v>58000</v>
      </c>
      <c r="K13" s="10">
        <v>58000</v>
      </c>
      <c r="L13" s="8">
        <v>42821</v>
      </c>
      <c r="M13" s="3" t="s">
        <v>163</v>
      </c>
      <c r="N13" s="10">
        <v>49549.668874172203</v>
      </c>
      <c r="O13" s="10">
        <v>0</v>
      </c>
      <c r="P13" s="12" t="s">
        <v>138</v>
      </c>
      <c r="Q13" s="10">
        <v>2450.33112582781</v>
      </c>
      <c r="R13" s="14">
        <v>0</v>
      </c>
      <c r="S13" s="11">
        <v>52000</v>
      </c>
      <c r="T13" s="10">
        <v>0</v>
      </c>
      <c r="U13" s="15">
        <v>1</v>
      </c>
      <c r="V13" s="12" t="s">
        <v>147</v>
      </c>
      <c r="W13" s="10">
        <v>58000</v>
      </c>
      <c r="X13" s="10">
        <v>58000</v>
      </c>
    </row>
    <row r="14" spans="1:24" ht="22" x14ac:dyDescent="0.35">
      <c r="A14" s="3">
        <v>7</v>
      </c>
      <c r="B14" s="3" t="s">
        <v>41</v>
      </c>
      <c r="C14" s="9">
        <v>42821.333333333299</v>
      </c>
      <c r="D14" s="9">
        <v>43038.708333333299</v>
      </c>
      <c r="E14" s="12" t="s">
        <v>43</v>
      </c>
      <c r="F14" s="12"/>
      <c r="G14" s="10">
        <v>0</v>
      </c>
      <c r="H14" s="10">
        <v>0</v>
      </c>
      <c r="I14" s="10">
        <v>17.628205128205099</v>
      </c>
      <c r="J14" s="10">
        <v>22000</v>
      </c>
      <c r="K14" s="10">
        <v>22000</v>
      </c>
      <c r="L14" s="8">
        <v>42821</v>
      </c>
      <c r="M14" s="3" t="s">
        <v>163</v>
      </c>
      <c r="N14" s="10">
        <v>18192.307692307699</v>
      </c>
      <c r="O14" s="10">
        <v>0</v>
      </c>
      <c r="P14" s="12" t="s">
        <v>138</v>
      </c>
      <c r="Q14" s="10">
        <v>5307.6923076923104</v>
      </c>
      <c r="R14" s="14">
        <v>0</v>
      </c>
      <c r="S14" s="11">
        <v>23500</v>
      </c>
      <c r="T14" s="10">
        <v>0</v>
      </c>
      <c r="U14" s="15">
        <v>1</v>
      </c>
      <c r="V14" s="12" t="s">
        <v>147</v>
      </c>
      <c r="W14" s="10">
        <v>22000</v>
      </c>
      <c r="X14" s="10">
        <v>22000</v>
      </c>
    </row>
    <row r="15" spans="1:24" ht="22" x14ac:dyDescent="0.35">
      <c r="A15" s="3">
        <v>8</v>
      </c>
      <c r="B15" s="3" t="s">
        <v>44</v>
      </c>
      <c r="C15" s="9">
        <v>42950.333333333299</v>
      </c>
      <c r="D15" s="9">
        <v>43112.708333333299</v>
      </c>
      <c r="E15" s="12" t="s">
        <v>46</v>
      </c>
      <c r="F15" s="12"/>
      <c r="G15" s="10">
        <v>0</v>
      </c>
      <c r="H15" s="10">
        <v>0</v>
      </c>
      <c r="I15" s="10">
        <v>58.760683760683797</v>
      </c>
      <c r="J15" s="10">
        <v>55000</v>
      </c>
      <c r="K15" s="10">
        <v>55000</v>
      </c>
      <c r="L15" s="8">
        <v>42951</v>
      </c>
      <c r="M15" s="3" t="s">
        <v>193</v>
      </c>
      <c r="N15" s="10">
        <v>67222.222222222204</v>
      </c>
      <c r="O15" s="10">
        <v>0</v>
      </c>
      <c r="P15" s="12" t="s">
        <v>138</v>
      </c>
      <c r="Q15" s="10">
        <v>-16722.222222222201</v>
      </c>
      <c r="R15" s="14">
        <v>0</v>
      </c>
      <c r="S15" s="11">
        <v>50500</v>
      </c>
      <c r="T15" s="10">
        <v>0</v>
      </c>
      <c r="U15" s="15">
        <v>1</v>
      </c>
      <c r="V15" s="12" t="s">
        <v>147</v>
      </c>
      <c r="W15" s="10">
        <v>55000</v>
      </c>
      <c r="X15" s="10">
        <v>55000</v>
      </c>
    </row>
    <row r="16" spans="1:24" ht="22" x14ac:dyDescent="0.35">
      <c r="A16" s="3">
        <v>9</v>
      </c>
      <c r="B16" s="3" t="s">
        <v>47</v>
      </c>
      <c r="C16" s="9">
        <v>42950.333333333299</v>
      </c>
      <c r="D16" s="9">
        <v>43119.708333333299</v>
      </c>
      <c r="E16" s="12" t="s">
        <v>49</v>
      </c>
      <c r="F16" s="12"/>
      <c r="G16" s="10">
        <v>0</v>
      </c>
      <c r="H16" s="10">
        <v>0</v>
      </c>
      <c r="I16" s="10">
        <v>20.491803278688501</v>
      </c>
      <c r="J16" s="10">
        <v>20000</v>
      </c>
      <c r="K16" s="10">
        <v>20000</v>
      </c>
      <c r="L16" s="8">
        <v>42951</v>
      </c>
      <c r="M16" s="3" t="s">
        <v>193</v>
      </c>
      <c r="N16" s="10">
        <v>23442.622950819699</v>
      </c>
      <c r="O16" s="10">
        <v>2889.3442622950802</v>
      </c>
      <c r="P16" s="12" t="s">
        <v>194</v>
      </c>
      <c r="Q16" s="10">
        <v>-4752.6229508196702</v>
      </c>
      <c r="R16" s="14">
        <v>0</v>
      </c>
      <c r="S16" s="11">
        <v>18690</v>
      </c>
      <c r="T16" s="10">
        <v>2889.3442622950802</v>
      </c>
      <c r="U16" s="15">
        <v>0.89</v>
      </c>
      <c r="V16" s="12" t="s">
        <v>137</v>
      </c>
      <c r="W16" s="10">
        <v>17800</v>
      </c>
      <c r="X16" s="10">
        <v>20000</v>
      </c>
    </row>
    <row r="17" spans="1:24" ht="22" x14ac:dyDescent="0.35">
      <c r="A17" s="3">
        <v>10</v>
      </c>
      <c r="B17" s="3" t="s">
        <v>50</v>
      </c>
      <c r="C17" s="9">
        <v>42944.333333333299</v>
      </c>
      <c r="D17" s="9">
        <v>43332.708333333299</v>
      </c>
      <c r="E17" s="12" t="s">
        <v>52</v>
      </c>
      <c r="F17" s="12"/>
      <c r="G17" s="10">
        <v>0</v>
      </c>
      <c r="H17" s="10">
        <v>0</v>
      </c>
      <c r="I17" s="10">
        <v>101.534296028881</v>
      </c>
      <c r="J17" s="10">
        <v>225000</v>
      </c>
      <c r="K17" s="10">
        <v>225000</v>
      </c>
      <c r="L17" s="8">
        <v>42951</v>
      </c>
      <c r="M17" s="3" t="s">
        <v>193</v>
      </c>
      <c r="N17" s="10">
        <v>116155.23465704</v>
      </c>
      <c r="O17" s="10">
        <v>71175.541516245503</v>
      </c>
      <c r="P17" s="12" t="s">
        <v>195</v>
      </c>
      <c r="Q17" s="10">
        <v>32644.765342960301</v>
      </c>
      <c r="R17" s="14">
        <v>0</v>
      </c>
      <c r="S17" s="11">
        <v>148800</v>
      </c>
      <c r="T17" s="10">
        <v>71175.541516245503</v>
      </c>
      <c r="U17" s="15">
        <v>0.62</v>
      </c>
      <c r="V17" s="12" t="s">
        <v>137</v>
      </c>
      <c r="W17" s="10">
        <v>139500</v>
      </c>
      <c r="X17" s="10">
        <v>120216.606498195</v>
      </c>
    </row>
    <row r="18" spans="1:24" ht="22" x14ac:dyDescent="0.35">
      <c r="A18" s="3">
        <v>11</v>
      </c>
      <c r="B18" s="3" t="s">
        <v>53</v>
      </c>
      <c r="C18" s="9">
        <v>43031.333333333299</v>
      </c>
      <c r="D18" s="9">
        <v>43168.708333333299</v>
      </c>
      <c r="E18" s="12" t="s">
        <v>55</v>
      </c>
      <c r="F18" s="12"/>
      <c r="G18" s="10">
        <v>0</v>
      </c>
      <c r="H18" s="10">
        <v>0</v>
      </c>
      <c r="I18" s="10">
        <v>10</v>
      </c>
      <c r="J18" s="10">
        <v>8000</v>
      </c>
      <c r="K18" s="10">
        <v>8000</v>
      </c>
      <c r="L18" s="8">
        <v>43031</v>
      </c>
      <c r="M18" s="3" t="s">
        <v>196</v>
      </c>
      <c r="N18" s="10">
        <v>6960</v>
      </c>
      <c r="O18" s="10">
        <v>0</v>
      </c>
      <c r="P18" s="12" t="s">
        <v>138</v>
      </c>
      <c r="Q18" s="10">
        <v>2240</v>
      </c>
      <c r="R18" s="14">
        <v>0</v>
      </c>
      <c r="S18" s="11">
        <v>9200</v>
      </c>
      <c r="T18" s="10">
        <v>0</v>
      </c>
      <c r="U18" s="15">
        <v>1</v>
      </c>
      <c r="V18" s="12" t="s">
        <v>147</v>
      </c>
      <c r="W18" s="10">
        <v>8000</v>
      </c>
      <c r="X18" s="10">
        <v>6960</v>
      </c>
    </row>
    <row r="19" spans="1:24" ht="32.5" x14ac:dyDescent="0.35">
      <c r="A19" s="3">
        <v>12</v>
      </c>
      <c r="B19" s="3" t="s">
        <v>56</v>
      </c>
      <c r="C19" s="9">
        <v>43031.333333333299</v>
      </c>
      <c r="D19" s="9">
        <v>43168.708333333299</v>
      </c>
      <c r="E19" s="12" t="s">
        <v>55</v>
      </c>
      <c r="F19" s="12"/>
      <c r="G19" s="10">
        <v>0</v>
      </c>
      <c r="H19" s="10">
        <v>0</v>
      </c>
      <c r="I19" s="10">
        <v>43.75</v>
      </c>
      <c r="J19" s="10">
        <v>35000</v>
      </c>
      <c r="K19" s="10">
        <v>35000</v>
      </c>
      <c r="L19" s="8">
        <v>43031</v>
      </c>
      <c r="M19" s="3" t="s">
        <v>196</v>
      </c>
      <c r="N19" s="10">
        <v>30450</v>
      </c>
      <c r="O19" s="10">
        <v>0</v>
      </c>
      <c r="P19" s="12" t="s">
        <v>138</v>
      </c>
      <c r="Q19" s="10">
        <v>-650</v>
      </c>
      <c r="R19" s="14">
        <v>0</v>
      </c>
      <c r="S19" s="11">
        <v>29800</v>
      </c>
      <c r="T19" s="10">
        <v>0</v>
      </c>
      <c r="U19" s="15">
        <v>1</v>
      </c>
      <c r="V19" s="12" t="s">
        <v>147</v>
      </c>
      <c r="W19" s="10">
        <v>35000</v>
      </c>
      <c r="X19" s="10">
        <v>30450</v>
      </c>
    </row>
    <row r="20" spans="1:24" x14ac:dyDescent="0.35">
      <c r="A20" s="3">
        <v>13</v>
      </c>
      <c r="B20" s="3" t="s">
        <v>58</v>
      </c>
      <c r="C20" s="9">
        <v>42968.333333333299</v>
      </c>
      <c r="D20" s="9">
        <v>43182.708333333299</v>
      </c>
      <c r="E20" s="12" t="s">
        <v>60</v>
      </c>
      <c r="F20" s="12"/>
      <c r="G20" s="10">
        <v>0</v>
      </c>
      <c r="H20" s="10">
        <v>0</v>
      </c>
      <c r="I20" s="10">
        <v>278.22580645161298</v>
      </c>
      <c r="J20" s="10">
        <v>345000</v>
      </c>
      <c r="K20" s="10">
        <v>345000</v>
      </c>
      <c r="L20" s="8">
        <v>42968</v>
      </c>
      <c r="M20" s="3" t="s">
        <v>149</v>
      </c>
      <c r="N20" s="10">
        <v>293806.45161290298</v>
      </c>
      <c r="O20" s="10">
        <v>0</v>
      </c>
      <c r="P20" s="12" t="s">
        <v>138</v>
      </c>
      <c r="Q20" s="10">
        <v>38193.5483870967</v>
      </c>
      <c r="R20" s="14">
        <v>0</v>
      </c>
      <c r="S20" s="11">
        <v>332000</v>
      </c>
      <c r="T20" s="10">
        <v>0</v>
      </c>
      <c r="U20" s="15">
        <v>1</v>
      </c>
      <c r="V20" s="12" t="s">
        <v>147</v>
      </c>
      <c r="W20" s="10">
        <v>345000</v>
      </c>
      <c r="X20" s="10">
        <v>293806.45161290298</v>
      </c>
    </row>
    <row r="21" spans="1:24" ht="22" x14ac:dyDescent="0.35">
      <c r="A21" s="3">
        <v>14</v>
      </c>
      <c r="B21" s="3" t="s">
        <v>61</v>
      </c>
      <c r="C21" s="9">
        <v>42968.333333333299</v>
      </c>
      <c r="D21" s="9">
        <v>43179.708333333299</v>
      </c>
      <c r="E21" s="12" t="s">
        <v>63</v>
      </c>
      <c r="F21" s="12"/>
      <c r="G21" s="10">
        <v>0</v>
      </c>
      <c r="H21" s="10">
        <v>0</v>
      </c>
      <c r="I21" s="10">
        <v>37.006578947368403</v>
      </c>
      <c r="J21" s="10">
        <v>45000</v>
      </c>
      <c r="K21" s="10">
        <v>45000</v>
      </c>
      <c r="L21" s="8">
        <v>42968</v>
      </c>
      <c r="M21" s="3" t="s">
        <v>149</v>
      </c>
      <c r="N21" s="10">
        <v>39078.947368421002</v>
      </c>
      <c r="O21" s="10">
        <v>0</v>
      </c>
      <c r="P21" s="12" t="s">
        <v>138</v>
      </c>
      <c r="Q21" s="10">
        <v>16621.052631579001</v>
      </c>
      <c r="R21" s="14">
        <v>0</v>
      </c>
      <c r="S21" s="11">
        <v>55700</v>
      </c>
      <c r="T21" s="10">
        <v>0</v>
      </c>
      <c r="U21" s="15">
        <v>1</v>
      </c>
      <c r="V21" s="12" t="s">
        <v>147</v>
      </c>
      <c r="W21" s="10">
        <v>45000</v>
      </c>
      <c r="X21" s="10">
        <v>39078.947368421002</v>
      </c>
    </row>
    <row r="22" spans="1:24" ht="22" x14ac:dyDescent="0.35">
      <c r="A22" s="3">
        <v>15</v>
      </c>
      <c r="B22" s="3" t="s">
        <v>64</v>
      </c>
      <c r="C22" s="9">
        <v>43003.333333333299</v>
      </c>
      <c r="D22" s="9">
        <v>43179.708333333299</v>
      </c>
      <c r="E22" s="12" t="s">
        <v>66</v>
      </c>
      <c r="F22" s="12"/>
      <c r="G22" s="10">
        <v>0</v>
      </c>
      <c r="H22" s="10">
        <v>0</v>
      </c>
      <c r="I22" s="10">
        <v>8.8582677165354298</v>
      </c>
      <c r="J22" s="10">
        <v>9000</v>
      </c>
      <c r="K22" s="10">
        <v>9000</v>
      </c>
      <c r="L22" s="8">
        <v>42951</v>
      </c>
      <c r="M22" s="3" t="s">
        <v>193</v>
      </c>
      <c r="N22" s="10">
        <v>10133.8582677165</v>
      </c>
      <c r="O22" s="10">
        <v>0</v>
      </c>
      <c r="P22" s="12" t="s">
        <v>138</v>
      </c>
      <c r="Q22" s="10">
        <v>-1133.85826771654</v>
      </c>
      <c r="R22" s="14">
        <v>0</v>
      </c>
      <c r="S22" s="11">
        <v>9000</v>
      </c>
      <c r="T22" s="10">
        <v>0</v>
      </c>
      <c r="U22" s="15">
        <v>1</v>
      </c>
      <c r="V22" s="12" t="s">
        <v>147</v>
      </c>
      <c r="W22" s="10">
        <v>9000</v>
      </c>
      <c r="X22" s="10">
        <v>7582.6771653543301</v>
      </c>
    </row>
    <row r="23" spans="1:24" x14ac:dyDescent="0.35">
      <c r="A23" s="3">
        <v>16</v>
      </c>
      <c r="B23" s="3" t="s">
        <v>67</v>
      </c>
      <c r="C23" s="9">
        <v>43003.333333333299</v>
      </c>
      <c r="D23" s="9">
        <v>43297.708333333299</v>
      </c>
      <c r="E23" s="12" t="s">
        <v>69</v>
      </c>
      <c r="F23" s="12"/>
      <c r="G23" s="10">
        <v>0</v>
      </c>
      <c r="H23" s="10">
        <v>0</v>
      </c>
      <c r="I23" s="10">
        <v>52.725118483412302</v>
      </c>
      <c r="J23" s="10">
        <v>89000</v>
      </c>
      <c r="K23" s="10">
        <v>89000</v>
      </c>
      <c r="L23" s="8">
        <v>43003</v>
      </c>
      <c r="M23" s="3" t="s">
        <v>197</v>
      </c>
      <c r="N23" s="10">
        <v>45132.701421800899</v>
      </c>
      <c r="O23" s="10">
        <v>122005.924170616</v>
      </c>
      <c r="P23" s="12" t="s">
        <v>198</v>
      </c>
      <c r="Q23" s="10">
        <v>-17052.701421800899</v>
      </c>
      <c r="R23" s="14">
        <v>0</v>
      </c>
      <c r="S23" s="11">
        <v>28080</v>
      </c>
      <c r="T23" s="10">
        <v>122005.924170616</v>
      </c>
      <c r="U23" s="15">
        <v>0.27</v>
      </c>
      <c r="V23" s="12" t="s">
        <v>137</v>
      </c>
      <c r="W23" s="10">
        <v>24030</v>
      </c>
      <c r="X23" s="10">
        <v>45132.701421800899</v>
      </c>
    </row>
    <row r="24" spans="1:24" ht="22" x14ac:dyDescent="0.35">
      <c r="A24" s="3">
        <v>17</v>
      </c>
      <c r="B24" s="3" t="s">
        <v>70</v>
      </c>
      <c r="C24" s="9">
        <v>43003.333333333299</v>
      </c>
      <c r="D24" s="9">
        <v>43147.708333333299</v>
      </c>
      <c r="E24" s="12" t="s">
        <v>72</v>
      </c>
      <c r="F24" s="12"/>
      <c r="G24" s="10">
        <v>0</v>
      </c>
      <c r="H24" s="10">
        <v>0</v>
      </c>
      <c r="I24" s="10">
        <v>59.523809523809497</v>
      </c>
      <c r="J24" s="10">
        <v>50000</v>
      </c>
      <c r="K24" s="10">
        <v>50000</v>
      </c>
      <c r="L24" s="8">
        <v>43003</v>
      </c>
      <c r="M24" s="3" t="s">
        <v>197</v>
      </c>
      <c r="N24" s="10">
        <v>50952.380952380998</v>
      </c>
      <c r="O24" s="10">
        <v>76428.571428571406</v>
      </c>
      <c r="P24" s="12" t="s">
        <v>199</v>
      </c>
      <c r="Q24" s="10">
        <v>-33972.380952380998</v>
      </c>
      <c r="R24" s="14">
        <v>0</v>
      </c>
      <c r="S24" s="11">
        <v>16980</v>
      </c>
      <c r="T24" s="10">
        <v>76428.571428571406</v>
      </c>
      <c r="U24" s="15">
        <v>0.4</v>
      </c>
      <c r="V24" s="12" t="s">
        <v>137</v>
      </c>
      <c r="W24" s="10">
        <v>20000</v>
      </c>
      <c r="X24" s="10">
        <v>50000</v>
      </c>
    </row>
    <row r="25" spans="1:24" ht="22" x14ac:dyDescent="0.35">
      <c r="A25" s="3">
        <v>18</v>
      </c>
      <c r="B25" s="3" t="s">
        <v>73</v>
      </c>
      <c r="C25" s="9">
        <v>43003.333333333299</v>
      </c>
      <c r="D25" s="9">
        <v>43147.708333333299</v>
      </c>
      <c r="E25" s="12" t="s">
        <v>72</v>
      </c>
      <c r="F25" s="12"/>
      <c r="G25" s="10">
        <v>0</v>
      </c>
      <c r="H25" s="10">
        <v>0</v>
      </c>
      <c r="I25" s="10">
        <v>35.714285714285701</v>
      </c>
      <c r="J25" s="10">
        <v>30000</v>
      </c>
      <c r="K25" s="10">
        <v>30000</v>
      </c>
      <c r="L25" s="8">
        <v>43003</v>
      </c>
      <c r="M25" s="3" t="s">
        <v>197</v>
      </c>
      <c r="N25" s="10">
        <v>30571.428571428602</v>
      </c>
      <c r="O25" s="10">
        <v>64964.285714285703</v>
      </c>
      <c r="P25" s="12" t="s">
        <v>200</v>
      </c>
      <c r="Q25" s="10">
        <v>-25451.428571428602</v>
      </c>
      <c r="R25" s="14">
        <v>0</v>
      </c>
      <c r="S25" s="11">
        <v>5120</v>
      </c>
      <c r="T25" s="10">
        <v>64964.285714285703</v>
      </c>
      <c r="U25" s="15">
        <v>0.32</v>
      </c>
      <c r="V25" s="12" t="s">
        <v>137</v>
      </c>
      <c r="W25" s="10">
        <v>9600</v>
      </c>
      <c r="X25" s="10">
        <v>30000</v>
      </c>
    </row>
    <row r="26" spans="1:24" ht="22" x14ac:dyDescent="0.35">
      <c r="A26" s="3">
        <v>19</v>
      </c>
      <c r="B26" s="3" t="s">
        <v>75</v>
      </c>
      <c r="C26" s="9">
        <v>43059.333333333299</v>
      </c>
      <c r="D26" s="9">
        <v>43238.708333333299</v>
      </c>
      <c r="E26" s="12" t="s">
        <v>77</v>
      </c>
      <c r="F26" s="12"/>
      <c r="G26" s="10">
        <v>0</v>
      </c>
      <c r="H26" s="10">
        <v>0</v>
      </c>
      <c r="I26" s="10">
        <v>38.461538461538503</v>
      </c>
      <c r="J26" s="10">
        <v>40000</v>
      </c>
      <c r="K26" s="10">
        <v>40000</v>
      </c>
      <c r="L26" s="8">
        <v>42999</v>
      </c>
      <c r="M26" s="3" t="s">
        <v>201</v>
      </c>
      <c r="N26" s="10">
        <v>33538.461538461503</v>
      </c>
      <c r="O26" s="10">
        <v>100615.384615385</v>
      </c>
      <c r="P26" s="12" t="s">
        <v>202</v>
      </c>
      <c r="Q26" s="10">
        <v>-20538.461538461499</v>
      </c>
      <c r="R26" s="14">
        <v>0</v>
      </c>
      <c r="S26" s="11">
        <v>13000</v>
      </c>
      <c r="T26" s="10">
        <v>100615.384615385</v>
      </c>
      <c r="U26" s="15">
        <v>0.25</v>
      </c>
      <c r="V26" s="12" t="s">
        <v>137</v>
      </c>
      <c r="W26" s="10">
        <v>10000</v>
      </c>
      <c r="X26" s="10">
        <v>20615.384615384599</v>
      </c>
    </row>
    <row r="27" spans="1:24" x14ac:dyDescent="0.35">
      <c r="A27" s="3">
        <v>20</v>
      </c>
      <c r="B27" s="3" t="s">
        <v>78</v>
      </c>
      <c r="C27" s="9">
        <v>43045.333333333299</v>
      </c>
      <c r="D27" s="9">
        <v>43070.708333333299</v>
      </c>
      <c r="E27" s="12" t="s">
        <v>80</v>
      </c>
      <c r="F27" s="12"/>
      <c r="G27" s="10">
        <v>0</v>
      </c>
      <c r="H27" s="10">
        <v>0</v>
      </c>
      <c r="I27" s="10">
        <v>156.25</v>
      </c>
      <c r="J27" s="10">
        <v>25000</v>
      </c>
      <c r="K27" s="10">
        <v>25000</v>
      </c>
      <c r="L27" s="8">
        <v>43045</v>
      </c>
      <c r="M27" s="3" t="s">
        <v>203</v>
      </c>
      <c r="N27" s="10">
        <v>96250</v>
      </c>
      <c r="O27" s="10">
        <v>10625</v>
      </c>
      <c r="P27" s="12" t="s">
        <v>204</v>
      </c>
      <c r="Q27" s="10">
        <v>-71050</v>
      </c>
      <c r="R27" s="14">
        <v>0</v>
      </c>
      <c r="S27" s="11">
        <v>25200</v>
      </c>
      <c r="T27" s="10">
        <v>10625</v>
      </c>
      <c r="U27" s="15">
        <v>0.9</v>
      </c>
      <c r="V27" s="12" t="s">
        <v>137</v>
      </c>
      <c r="W27" s="10">
        <v>22500</v>
      </c>
      <c r="X27" s="10">
        <v>25000</v>
      </c>
    </row>
    <row r="28" spans="1:24" x14ac:dyDescent="0.35">
      <c r="A28" s="3">
        <v>21</v>
      </c>
      <c r="B28" s="3" t="s">
        <v>81</v>
      </c>
      <c r="C28" s="9">
        <v>43119.333333333299</v>
      </c>
      <c r="D28" s="9">
        <v>43207.708333333299</v>
      </c>
      <c r="E28" s="12" t="s">
        <v>83</v>
      </c>
      <c r="F28" s="12"/>
      <c r="G28" s="10">
        <v>0</v>
      </c>
      <c r="H28" s="10">
        <v>0</v>
      </c>
      <c r="I28" s="10">
        <v>49.603174603174601</v>
      </c>
      <c r="J28" s="10">
        <v>25000</v>
      </c>
      <c r="K28" s="10">
        <v>25000</v>
      </c>
      <c r="L28" s="3"/>
      <c r="M28" s="3" t="s">
        <v>138</v>
      </c>
      <c r="N28" s="10">
        <v>0</v>
      </c>
      <c r="O28" s="10">
        <v>25000</v>
      </c>
      <c r="P28" s="12" t="s">
        <v>83</v>
      </c>
      <c r="Q28" s="10">
        <v>0</v>
      </c>
      <c r="R28" s="14">
        <v>0</v>
      </c>
      <c r="S28" s="11">
        <v>0</v>
      </c>
      <c r="T28" s="10">
        <v>25000</v>
      </c>
      <c r="U28" s="15">
        <v>0</v>
      </c>
      <c r="V28" s="12" t="s">
        <v>139</v>
      </c>
      <c r="W28" s="10">
        <v>0</v>
      </c>
      <c r="X28" s="10">
        <v>9126.9841269841309</v>
      </c>
    </row>
    <row r="29" spans="1:24" ht="22" x14ac:dyDescent="0.35">
      <c r="A29" s="3">
        <v>22</v>
      </c>
      <c r="B29" s="3" t="s">
        <v>84</v>
      </c>
      <c r="C29" s="9">
        <v>43070.333333333299</v>
      </c>
      <c r="D29" s="9">
        <v>43098.708333333299</v>
      </c>
      <c r="E29" s="12" t="s">
        <v>26</v>
      </c>
      <c r="F29" s="12"/>
      <c r="G29" s="10">
        <v>0</v>
      </c>
      <c r="H29" s="10">
        <v>0</v>
      </c>
      <c r="I29" s="10">
        <v>107.142857142857</v>
      </c>
      <c r="J29" s="10">
        <v>18000</v>
      </c>
      <c r="K29" s="10">
        <v>18000</v>
      </c>
      <c r="L29" s="8">
        <v>43053</v>
      </c>
      <c r="M29" s="3" t="s">
        <v>205</v>
      </c>
      <c r="N29" s="10">
        <v>60857.142857142899</v>
      </c>
      <c r="O29" s="10">
        <v>0</v>
      </c>
      <c r="P29" s="12" t="s">
        <v>138</v>
      </c>
      <c r="Q29" s="10">
        <v>-45157.142857142899</v>
      </c>
      <c r="R29" s="14">
        <v>0</v>
      </c>
      <c r="S29" s="11">
        <v>15700</v>
      </c>
      <c r="T29" s="10">
        <v>0</v>
      </c>
      <c r="U29" s="15">
        <v>1</v>
      </c>
      <c r="V29" s="12" t="s">
        <v>147</v>
      </c>
      <c r="W29" s="10">
        <v>18000</v>
      </c>
      <c r="X29" s="10">
        <v>18000</v>
      </c>
    </row>
    <row r="30" spans="1:24" ht="22" x14ac:dyDescent="0.35">
      <c r="A30" s="3">
        <v>23</v>
      </c>
      <c r="B30" s="3" t="s">
        <v>86</v>
      </c>
      <c r="C30" s="9">
        <v>43332.333333333299</v>
      </c>
      <c r="D30" s="9">
        <v>43343.708333333299</v>
      </c>
      <c r="E30" s="12" t="s">
        <v>88</v>
      </c>
      <c r="F30" s="12"/>
      <c r="G30" s="10">
        <v>0</v>
      </c>
      <c r="H30" s="10">
        <v>0</v>
      </c>
      <c r="I30" s="10">
        <v>1562.5</v>
      </c>
      <c r="J30" s="10">
        <v>125000</v>
      </c>
      <c r="K30" s="10">
        <v>125000</v>
      </c>
      <c r="L30" s="3"/>
      <c r="M30" s="3" t="s">
        <v>138</v>
      </c>
      <c r="N30" s="10">
        <v>0</v>
      </c>
      <c r="O30" s="10">
        <v>125000</v>
      </c>
      <c r="P30" s="12" t="s">
        <v>88</v>
      </c>
      <c r="Q30" s="10">
        <v>0</v>
      </c>
      <c r="R30" s="14">
        <v>0</v>
      </c>
      <c r="S30" s="11">
        <v>0</v>
      </c>
      <c r="T30" s="10">
        <v>125000</v>
      </c>
      <c r="U30" s="15">
        <v>0</v>
      </c>
      <c r="V30" s="12" t="s">
        <v>139</v>
      </c>
      <c r="W30" s="10">
        <v>0</v>
      </c>
      <c r="X30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30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119</v>
      </c>
      <c r="C1" s="8">
        <v>43218.708333333299</v>
      </c>
      <c r="E1" s="1" t="s">
        <v>120</v>
      </c>
      <c r="F1" s="4" t="s">
        <v>206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121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122</v>
      </c>
      <c r="M4" s="1" t="s">
        <v>123</v>
      </c>
      <c r="N4" s="1" t="s">
        <v>124</v>
      </c>
      <c r="O4" s="1" t="s">
        <v>125</v>
      </c>
      <c r="P4" s="1" t="s">
        <v>126</v>
      </c>
      <c r="Q4" s="1" t="s">
        <v>127</v>
      </c>
      <c r="R4" s="1" t="s">
        <v>128</v>
      </c>
      <c r="S4" s="1" t="s">
        <v>129</v>
      </c>
      <c r="T4" s="1" t="s">
        <v>130</v>
      </c>
      <c r="U4" s="1" t="s">
        <v>131</v>
      </c>
      <c r="V4" s="1" t="s">
        <v>121</v>
      </c>
      <c r="W4" s="1" t="s">
        <v>132</v>
      </c>
      <c r="X4" s="1" t="s">
        <v>133</v>
      </c>
    </row>
    <row r="5" spans="1:24" ht="22" x14ac:dyDescent="0.35">
      <c r="A5" s="2">
        <v>0</v>
      </c>
      <c r="B5" s="3" t="s">
        <v>18</v>
      </c>
      <c r="C5" s="5">
        <v>42674.333333333299</v>
      </c>
      <c r="D5" s="5">
        <v>43343.708333333299</v>
      </c>
      <c r="E5" s="2" t="s">
        <v>20</v>
      </c>
      <c r="F5" s="2"/>
      <c r="G5" s="6"/>
      <c r="H5" s="6">
        <v>0</v>
      </c>
      <c r="I5" s="6"/>
      <c r="J5" s="6"/>
      <c r="K5" s="6">
        <v>1512000</v>
      </c>
      <c r="L5" s="2"/>
      <c r="M5" s="2" t="s">
        <v>207</v>
      </c>
      <c r="N5" s="6"/>
      <c r="O5" s="6"/>
      <c r="P5" s="2"/>
      <c r="Q5" s="6"/>
      <c r="R5" s="6"/>
      <c r="S5" s="6">
        <v>1262570</v>
      </c>
      <c r="T5" s="6"/>
      <c r="U5" s="13">
        <v>0.83151455026455001</v>
      </c>
      <c r="V5" s="2"/>
      <c r="W5" s="6">
        <v>1257250</v>
      </c>
      <c r="X5" s="6">
        <v>1292969.53847733</v>
      </c>
    </row>
    <row r="6" spans="1:24" x14ac:dyDescent="0.35">
      <c r="A6" s="3">
        <v>1</v>
      </c>
      <c r="B6" s="3" t="s">
        <v>21</v>
      </c>
      <c r="C6" s="9">
        <v>42674.333333333299</v>
      </c>
      <c r="D6" s="9">
        <v>43080.708333333299</v>
      </c>
      <c r="E6" s="12" t="s">
        <v>23</v>
      </c>
      <c r="F6" s="12"/>
      <c r="G6" s="10">
        <v>0</v>
      </c>
      <c r="H6" s="10">
        <v>0</v>
      </c>
      <c r="I6" s="10">
        <v>67.439862542955296</v>
      </c>
      <c r="J6" s="10">
        <v>157000</v>
      </c>
      <c r="K6" s="10">
        <v>157000</v>
      </c>
      <c r="L6" s="8">
        <v>42674</v>
      </c>
      <c r="M6" s="3" t="s">
        <v>173</v>
      </c>
      <c r="N6" s="10">
        <v>146749.14089347099</v>
      </c>
      <c r="O6" s="10">
        <v>0</v>
      </c>
      <c r="P6" s="12" t="s">
        <v>138</v>
      </c>
      <c r="Q6" s="10">
        <v>25350.859106529198</v>
      </c>
      <c r="R6" s="14">
        <v>0</v>
      </c>
      <c r="S6" s="11">
        <v>172100</v>
      </c>
      <c r="T6" s="10">
        <v>0</v>
      </c>
      <c r="U6" s="15">
        <v>1</v>
      </c>
      <c r="V6" s="12" t="s">
        <v>147</v>
      </c>
      <c r="W6" s="10">
        <v>157000</v>
      </c>
      <c r="X6" s="10">
        <v>157000</v>
      </c>
    </row>
    <row r="7" spans="1:24" x14ac:dyDescent="0.35">
      <c r="A7" s="4">
        <v>26</v>
      </c>
      <c r="B7" s="4" t="s">
        <v>24</v>
      </c>
      <c r="C7" s="5">
        <v>42793.333333333299</v>
      </c>
      <c r="D7" s="5">
        <v>42821.708333333299</v>
      </c>
      <c r="E7" s="2" t="s">
        <v>26</v>
      </c>
      <c r="F7" s="2"/>
      <c r="G7" s="6"/>
      <c r="H7" s="6">
        <v>0</v>
      </c>
      <c r="I7" s="6"/>
      <c r="J7" s="6"/>
      <c r="K7" s="6">
        <v>71000</v>
      </c>
      <c r="L7" s="2"/>
      <c r="M7" s="2" t="s">
        <v>146</v>
      </c>
      <c r="N7" s="6"/>
      <c r="O7" s="6"/>
      <c r="P7" s="2"/>
      <c r="Q7" s="6"/>
      <c r="R7" s="6"/>
      <c r="S7" s="6">
        <v>69070</v>
      </c>
      <c r="T7" s="6"/>
      <c r="U7" s="13">
        <v>1</v>
      </c>
      <c r="V7" s="2"/>
      <c r="W7" s="6">
        <v>71000</v>
      </c>
      <c r="X7" s="6">
        <v>71000</v>
      </c>
    </row>
    <row r="8" spans="1:24" ht="22" x14ac:dyDescent="0.35">
      <c r="A8" s="3">
        <v>2</v>
      </c>
      <c r="B8" s="3" t="s">
        <v>27</v>
      </c>
      <c r="C8" s="9">
        <v>42793.333333333299</v>
      </c>
      <c r="D8" s="9">
        <v>42793.708333333299</v>
      </c>
      <c r="E8" s="12" t="s">
        <v>29</v>
      </c>
      <c r="F8" s="12"/>
      <c r="G8" s="10">
        <v>0</v>
      </c>
      <c r="H8" s="10">
        <v>0</v>
      </c>
      <c r="I8" s="10">
        <v>1875</v>
      </c>
      <c r="J8" s="10">
        <v>15000</v>
      </c>
      <c r="K8" s="10">
        <v>15000</v>
      </c>
      <c r="L8" s="8">
        <v>42793</v>
      </c>
      <c r="M8" s="3" t="s">
        <v>146</v>
      </c>
      <c r="N8" s="10">
        <v>570000</v>
      </c>
      <c r="O8" s="10">
        <v>0</v>
      </c>
      <c r="P8" s="12" t="s">
        <v>138</v>
      </c>
      <c r="Q8" s="10">
        <v>-553600</v>
      </c>
      <c r="R8" s="14">
        <v>0</v>
      </c>
      <c r="S8" s="11">
        <v>16400</v>
      </c>
      <c r="T8" s="10">
        <v>0</v>
      </c>
      <c r="U8" s="15">
        <v>1</v>
      </c>
      <c r="V8" s="12" t="s">
        <v>147</v>
      </c>
      <c r="W8" s="10">
        <v>15000</v>
      </c>
      <c r="X8" s="10">
        <v>15000</v>
      </c>
    </row>
    <row r="9" spans="1:24" ht="32.5" x14ac:dyDescent="0.35">
      <c r="A9" s="3">
        <v>3</v>
      </c>
      <c r="B9" s="3" t="s">
        <v>30</v>
      </c>
      <c r="C9" s="9">
        <v>42793.333333333299</v>
      </c>
      <c r="D9" s="9">
        <v>42821.708333333299</v>
      </c>
      <c r="E9" s="12" t="s">
        <v>26</v>
      </c>
      <c r="F9" s="12"/>
      <c r="G9" s="10">
        <v>0</v>
      </c>
      <c r="H9" s="10">
        <v>0</v>
      </c>
      <c r="I9" s="10">
        <v>333.33333333333297</v>
      </c>
      <c r="J9" s="10">
        <v>56000</v>
      </c>
      <c r="K9" s="10">
        <v>56000</v>
      </c>
      <c r="L9" s="8">
        <v>42793</v>
      </c>
      <c r="M9" s="3" t="s">
        <v>146</v>
      </c>
      <c r="N9" s="10">
        <v>101333.33333333299</v>
      </c>
      <c r="O9" s="10">
        <v>0</v>
      </c>
      <c r="P9" s="12" t="s">
        <v>138</v>
      </c>
      <c r="Q9" s="10">
        <v>-48663.333333333299</v>
      </c>
      <c r="R9" s="14">
        <v>0</v>
      </c>
      <c r="S9" s="11">
        <v>52670</v>
      </c>
      <c r="T9" s="10">
        <v>0</v>
      </c>
      <c r="U9" s="15">
        <v>1</v>
      </c>
      <c r="V9" s="12" t="s">
        <v>147</v>
      </c>
      <c r="W9" s="10">
        <v>56000</v>
      </c>
      <c r="X9" s="10">
        <v>56000</v>
      </c>
    </row>
    <row r="10" spans="1:24" x14ac:dyDescent="0.35">
      <c r="A10" s="4">
        <v>27</v>
      </c>
      <c r="B10" s="4" t="s">
        <v>32</v>
      </c>
      <c r="C10" s="5">
        <v>42922.333333333299</v>
      </c>
      <c r="D10" s="5">
        <v>42950.708333333299</v>
      </c>
      <c r="E10" s="2" t="s">
        <v>26</v>
      </c>
      <c r="F10" s="2"/>
      <c r="G10" s="6"/>
      <c r="H10" s="6">
        <v>0</v>
      </c>
      <c r="I10" s="6"/>
      <c r="J10" s="6"/>
      <c r="K10" s="6">
        <v>60000</v>
      </c>
      <c r="L10" s="2"/>
      <c r="M10" s="2" t="s">
        <v>162</v>
      </c>
      <c r="N10" s="6"/>
      <c r="O10" s="6"/>
      <c r="P10" s="2"/>
      <c r="Q10" s="6"/>
      <c r="R10" s="6"/>
      <c r="S10" s="6">
        <v>55350</v>
      </c>
      <c r="T10" s="6"/>
      <c r="U10" s="13">
        <v>1</v>
      </c>
      <c r="V10" s="2"/>
      <c r="W10" s="6">
        <v>60000</v>
      </c>
      <c r="X10" s="6">
        <v>60000</v>
      </c>
    </row>
    <row r="11" spans="1:24" ht="22" x14ac:dyDescent="0.35">
      <c r="A11" s="3">
        <v>4</v>
      </c>
      <c r="B11" s="3" t="s">
        <v>34</v>
      </c>
      <c r="C11" s="9">
        <v>42922.333333333299</v>
      </c>
      <c r="D11" s="9">
        <v>42922.708333333299</v>
      </c>
      <c r="E11" s="12" t="s">
        <v>29</v>
      </c>
      <c r="F11" s="12"/>
      <c r="G11" s="10">
        <v>0</v>
      </c>
      <c r="H11" s="10">
        <v>0</v>
      </c>
      <c r="I11" s="10">
        <v>1875</v>
      </c>
      <c r="J11" s="10">
        <v>15000</v>
      </c>
      <c r="K11" s="10">
        <v>15000</v>
      </c>
      <c r="L11" s="8">
        <v>42922</v>
      </c>
      <c r="M11" s="3" t="s">
        <v>154</v>
      </c>
      <c r="N11" s="10">
        <v>330000</v>
      </c>
      <c r="O11" s="10">
        <v>0</v>
      </c>
      <c r="P11" s="12" t="s">
        <v>138</v>
      </c>
      <c r="Q11" s="10">
        <v>-315650</v>
      </c>
      <c r="R11" s="14">
        <v>0</v>
      </c>
      <c r="S11" s="11">
        <v>14350</v>
      </c>
      <c r="T11" s="10">
        <v>0</v>
      </c>
      <c r="U11" s="15">
        <v>1</v>
      </c>
      <c r="V11" s="12" t="s">
        <v>147</v>
      </c>
      <c r="W11" s="10">
        <v>15000</v>
      </c>
      <c r="X11" s="10">
        <v>15000</v>
      </c>
    </row>
    <row r="12" spans="1:24" ht="32.5" x14ac:dyDescent="0.35">
      <c r="A12" s="3">
        <v>5</v>
      </c>
      <c r="B12" s="3" t="s">
        <v>36</v>
      </c>
      <c r="C12" s="9">
        <v>42922.333333333299</v>
      </c>
      <c r="D12" s="9">
        <v>42950.708333333299</v>
      </c>
      <c r="E12" s="12" t="s">
        <v>26</v>
      </c>
      <c r="F12" s="12"/>
      <c r="G12" s="10">
        <v>0</v>
      </c>
      <c r="H12" s="10">
        <v>0</v>
      </c>
      <c r="I12" s="10">
        <v>267.857142857143</v>
      </c>
      <c r="J12" s="10">
        <v>45000</v>
      </c>
      <c r="K12" s="10">
        <v>45000</v>
      </c>
      <c r="L12" s="8">
        <v>42922</v>
      </c>
      <c r="M12" s="3" t="s">
        <v>162</v>
      </c>
      <c r="N12" s="10">
        <v>120000</v>
      </c>
      <c r="O12" s="10">
        <v>0</v>
      </c>
      <c r="P12" s="12" t="s">
        <v>138</v>
      </c>
      <c r="Q12" s="10">
        <v>-79000</v>
      </c>
      <c r="R12" s="14">
        <v>0</v>
      </c>
      <c r="S12" s="11">
        <v>41000</v>
      </c>
      <c r="T12" s="10">
        <v>0</v>
      </c>
      <c r="U12" s="15">
        <v>1</v>
      </c>
      <c r="V12" s="12" t="s">
        <v>147</v>
      </c>
      <c r="W12" s="10">
        <v>45000</v>
      </c>
      <c r="X12" s="10">
        <v>45000</v>
      </c>
    </row>
    <row r="13" spans="1:24" ht="22" x14ac:dyDescent="0.35">
      <c r="A13" s="3">
        <v>6</v>
      </c>
      <c r="B13" s="3" t="s">
        <v>38</v>
      </c>
      <c r="C13" s="9">
        <v>42821.333333333299</v>
      </c>
      <c r="D13" s="9">
        <v>43031.708333333299</v>
      </c>
      <c r="E13" s="12" t="s">
        <v>40</v>
      </c>
      <c r="F13" s="12"/>
      <c r="G13" s="10">
        <v>0</v>
      </c>
      <c r="H13" s="10">
        <v>0</v>
      </c>
      <c r="I13" s="10">
        <v>48.013245033112597</v>
      </c>
      <c r="J13" s="10">
        <v>58000</v>
      </c>
      <c r="K13" s="10">
        <v>58000</v>
      </c>
      <c r="L13" s="8">
        <v>42821</v>
      </c>
      <c r="M13" s="3" t="s">
        <v>163</v>
      </c>
      <c r="N13" s="10">
        <v>49549.668874172203</v>
      </c>
      <c r="O13" s="10">
        <v>0</v>
      </c>
      <c r="P13" s="12" t="s">
        <v>138</v>
      </c>
      <c r="Q13" s="10">
        <v>2450.33112582781</v>
      </c>
      <c r="R13" s="14">
        <v>0</v>
      </c>
      <c r="S13" s="11">
        <v>52000</v>
      </c>
      <c r="T13" s="10">
        <v>0</v>
      </c>
      <c r="U13" s="15">
        <v>1</v>
      </c>
      <c r="V13" s="12" t="s">
        <v>147</v>
      </c>
      <c r="W13" s="10">
        <v>58000</v>
      </c>
      <c r="X13" s="10">
        <v>58000</v>
      </c>
    </row>
    <row r="14" spans="1:24" ht="22" x14ac:dyDescent="0.35">
      <c r="A14" s="3">
        <v>7</v>
      </c>
      <c r="B14" s="3" t="s">
        <v>41</v>
      </c>
      <c r="C14" s="9">
        <v>42821.333333333299</v>
      </c>
      <c r="D14" s="9">
        <v>43038.708333333299</v>
      </c>
      <c r="E14" s="12" t="s">
        <v>43</v>
      </c>
      <c r="F14" s="12"/>
      <c r="G14" s="10">
        <v>0</v>
      </c>
      <c r="H14" s="10">
        <v>0</v>
      </c>
      <c r="I14" s="10">
        <v>17.628205128205099</v>
      </c>
      <c r="J14" s="10">
        <v>22000</v>
      </c>
      <c r="K14" s="10">
        <v>22000</v>
      </c>
      <c r="L14" s="8">
        <v>42821</v>
      </c>
      <c r="M14" s="3" t="s">
        <v>163</v>
      </c>
      <c r="N14" s="10">
        <v>18192.307692307699</v>
      </c>
      <c r="O14" s="10">
        <v>0</v>
      </c>
      <c r="P14" s="12" t="s">
        <v>138</v>
      </c>
      <c r="Q14" s="10">
        <v>5307.6923076923104</v>
      </c>
      <c r="R14" s="14">
        <v>0</v>
      </c>
      <c r="S14" s="11">
        <v>23500</v>
      </c>
      <c r="T14" s="10">
        <v>0</v>
      </c>
      <c r="U14" s="15">
        <v>1</v>
      </c>
      <c r="V14" s="12" t="s">
        <v>147</v>
      </c>
      <c r="W14" s="10">
        <v>22000</v>
      </c>
      <c r="X14" s="10">
        <v>22000</v>
      </c>
    </row>
    <row r="15" spans="1:24" ht="22" x14ac:dyDescent="0.35">
      <c r="A15" s="3">
        <v>8</v>
      </c>
      <c r="B15" s="3" t="s">
        <v>44</v>
      </c>
      <c r="C15" s="9">
        <v>42950.333333333299</v>
      </c>
      <c r="D15" s="9">
        <v>43112.708333333299</v>
      </c>
      <c r="E15" s="12" t="s">
        <v>46</v>
      </c>
      <c r="F15" s="12"/>
      <c r="G15" s="10">
        <v>0</v>
      </c>
      <c r="H15" s="10">
        <v>0</v>
      </c>
      <c r="I15" s="10">
        <v>58.760683760683797</v>
      </c>
      <c r="J15" s="10">
        <v>55000</v>
      </c>
      <c r="K15" s="10">
        <v>55000</v>
      </c>
      <c r="L15" s="8">
        <v>42951</v>
      </c>
      <c r="M15" s="3" t="s">
        <v>193</v>
      </c>
      <c r="N15" s="10">
        <v>67222.222222222204</v>
      </c>
      <c r="O15" s="10">
        <v>0</v>
      </c>
      <c r="P15" s="12" t="s">
        <v>138</v>
      </c>
      <c r="Q15" s="10">
        <v>-16722.222222222201</v>
      </c>
      <c r="R15" s="14">
        <v>0</v>
      </c>
      <c r="S15" s="11">
        <v>50500</v>
      </c>
      <c r="T15" s="10">
        <v>0</v>
      </c>
      <c r="U15" s="15">
        <v>1</v>
      </c>
      <c r="V15" s="12" t="s">
        <v>147</v>
      </c>
      <c r="W15" s="10">
        <v>55000</v>
      </c>
      <c r="X15" s="10">
        <v>55000</v>
      </c>
    </row>
    <row r="16" spans="1:24" ht="22" x14ac:dyDescent="0.35">
      <c r="A16" s="3">
        <v>9</v>
      </c>
      <c r="B16" s="3" t="s">
        <v>47</v>
      </c>
      <c r="C16" s="9">
        <v>42950.333333333299</v>
      </c>
      <c r="D16" s="9">
        <v>43119.708333333299</v>
      </c>
      <c r="E16" s="12" t="s">
        <v>49</v>
      </c>
      <c r="F16" s="12"/>
      <c r="G16" s="10">
        <v>0</v>
      </c>
      <c r="H16" s="10">
        <v>0</v>
      </c>
      <c r="I16" s="10">
        <v>20.491803278688501</v>
      </c>
      <c r="J16" s="10">
        <v>20000</v>
      </c>
      <c r="K16" s="10">
        <v>20000</v>
      </c>
      <c r="L16" s="8">
        <v>42951</v>
      </c>
      <c r="M16" s="3" t="s">
        <v>208</v>
      </c>
      <c r="N16" s="10">
        <v>31311.475409836101</v>
      </c>
      <c r="O16" s="10">
        <v>0</v>
      </c>
      <c r="P16" s="12" t="s">
        <v>138</v>
      </c>
      <c r="Q16" s="10">
        <v>-10311.475409836101</v>
      </c>
      <c r="R16" s="14">
        <v>0</v>
      </c>
      <c r="S16" s="11">
        <v>21000</v>
      </c>
      <c r="T16" s="10">
        <v>0</v>
      </c>
      <c r="U16" s="15">
        <v>1</v>
      </c>
      <c r="V16" s="12" t="s">
        <v>147</v>
      </c>
      <c r="W16" s="10">
        <v>20000</v>
      </c>
      <c r="X16" s="10">
        <v>20000</v>
      </c>
    </row>
    <row r="17" spans="1:24" ht="22" x14ac:dyDescent="0.35">
      <c r="A17" s="3">
        <v>10</v>
      </c>
      <c r="B17" s="3" t="s">
        <v>50</v>
      </c>
      <c r="C17" s="9">
        <v>42944.333333333299</v>
      </c>
      <c r="D17" s="9">
        <v>43332.708333333299</v>
      </c>
      <c r="E17" s="12" t="s">
        <v>52</v>
      </c>
      <c r="F17" s="12"/>
      <c r="G17" s="10">
        <v>0</v>
      </c>
      <c r="H17" s="10">
        <v>0</v>
      </c>
      <c r="I17" s="10">
        <v>101.534296028881</v>
      </c>
      <c r="J17" s="10">
        <v>225000</v>
      </c>
      <c r="K17" s="10">
        <v>225000</v>
      </c>
      <c r="L17" s="8">
        <v>42951</v>
      </c>
      <c r="M17" s="3" t="s">
        <v>208</v>
      </c>
      <c r="N17" s="10">
        <v>155144.40433213001</v>
      </c>
      <c r="O17" s="10">
        <v>63357.400722021703</v>
      </c>
      <c r="P17" s="12" t="s">
        <v>209</v>
      </c>
      <c r="Q17" s="10">
        <v>15255.59566787</v>
      </c>
      <c r="R17" s="14">
        <v>0</v>
      </c>
      <c r="S17" s="11">
        <v>170400</v>
      </c>
      <c r="T17" s="10">
        <v>63357.400722021703</v>
      </c>
      <c r="U17" s="15">
        <v>0.71</v>
      </c>
      <c r="V17" s="12" t="s">
        <v>137</v>
      </c>
      <c r="W17" s="10">
        <v>159750</v>
      </c>
      <c r="X17" s="10">
        <v>159205.776173285</v>
      </c>
    </row>
    <row r="18" spans="1:24" ht="22" x14ac:dyDescent="0.35">
      <c r="A18" s="3">
        <v>11</v>
      </c>
      <c r="B18" s="3" t="s">
        <v>53</v>
      </c>
      <c r="C18" s="9">
        <v>43031.333333333299</v>
      </c>
      <c r="D18" s="9">
        <v>43168.708333333299</v>
      </c>
      <c r="E18" s="12" t="s">
        <v>55</v>
      </c>
      <c r="F18" s="12"/>
      <c r="G18" s="10">
        <v>0</v>
      </c>
      <c r="H18" s="10">
        <v>0</v>
      </c>
      <c r="I18" s="10">
        <v>10</v>
      </c>
      <c r="J18" s="10">
        <v>8000</v>
      </c>
      <c r="K18" s="10">
        <v>8000</v>
      </c>
      <c r="L18" s="8">
        <v>43031</v>
      </c>
      <c r="M18" s="3" t="s">
        <v>196</v>
      </c>
      <c r="N18" s="10">
        <v>6960</v>
      </c>
      <c r="O18" s="10">
        <v>0</v>
      </c>
      <c r="P18" s="12" t="s">
        <v>138</v>
      </c>
      <c r="Q18" s="10">
        <v>2240</v>
      </c>
      <c r="R18" s="14">
        <v>0</v>
      </c>
      <c r="S18" s="11">
        <v>9200</v>
      </c>
      <c r="T18" s="10">
        <v>0</v>
      </c>
      <c r="U18" s="15">
        <v>1</v>
      </c>
      <c r="V18" s="12" t="s">
        <v>147</v>
      </c>
      <c r="W18" s="10">
        <v>8000</v>
      </c>
      <c r="X18" s="10">
        <v>8000</v>
      </c>
    </row>
    <row r="19" spans="1:24" ht="32.5" x14ac:dyDescent="0.35">
      <c r="A19" s="3">
        <v>12</v>
      </c>
      <c r="B19" s="3" t="s">
        <v>56</v>
      </c>
      <c r="C19" s="9">
        <v>43031.333333333299</v>
      </c>
      <c r="D19" s="9">
        <v>43168.708333333299</v>
      </c>
      <c r="E19" s="12" t="s">
        <v>55</v>
      </c>
      <c r="F19" s="12"/>
      <c r="G19" s="10">
        <v>0</v>
      </c>
      <c r="H19" s="10">
        <v>0</v>
      </c>
      <c r="I19" s="10">
        <v>43.75</v>
      </c>
      <c r="J19" s="10">
        <v>35000</v>
      </c>
      <c r="K19" s="10">
        <v>35000</v>
      </c>
      <c r="L19" s="8">
        <v>43031</v>
      </c>
      <c r="M19" s="3" t="s">
        <v>196</v>
      </c>
      <c r="N19" s="10">
        <v>30450</v>
      </c>
      <c r="O19" s="10">
        <v>0</v>
      </c>
      <c r="P19" s="12" t="s">
        <v>138</v>
      </c>
      <c r="Q19" s="10">
        <v>-650</v>
      </c>
      <c r="R19" s="14">
        <v>0</v>
      </c>
      <c r="S19" s="11">
        <v>29800</v>
      </c>
      <c r="T19" s="10">
        <v>0</v>
      </c>
      <c r="U19" s="15">
        <v>1</v>
      </c>
      <c r="V19" s="12" t="s">
        <v>147</v>
      </c>
      <c r="W19" s="10">
        <v>35000</v>
      </c>
      <c r="X19" s="10">
        <v>35000</v>
      </c>
    </row>
    <row r="20" spans="1:24" x14ac:dyDescent="0.35">
      <c r="A20" s="3">
        <v>13</v>
      </c>
      <c r="B20" s="3" t="s">
        <v>58</v>
      </c>
      <c r="C20" s="9">
        <v>42968.333333333299</v>
      </c>
      <c r="D20" s="9">
        <v>43182.708333333299</v>
      </c>
      <c r="E20" s="12" t="s">
        <v>60</v>
      </c>
      <c r="F20" s="12"/>
      <c r="G20" s="10">
        <v>0</v>
      </c>
      <c r="H20" s="10">
        <v>0</v>
      </c>
      <c r="I20" s="10">
        <v>278.22580645161298</v>
      </c>
      <c r="J20" s="10">
        <v>345000</v>
      </c>
      <c r="K20" s="10">
        <v>345000</v>
      </c>
      <c r="L20" s="8">
        <v>42968</v>
      </c>
      <c r="M20" s="3" t="s">
        <v>149</v>
      </c>
      <c r="N20" s="10">
        <v>293806.45161290298</v>
      </c>
      <c r="O20" s="10">
        <v>0</v>
      </c>
      <c r="P20" s="12" t="s">
        <v>138</v>
      </c>
      <c r="Q20" s="10">
        <v>38193.5483870967</v>
      </c>
      <c r="R20" s="14">
        <v>0</v>
      </c>
      <c r="S20" s="11">
        <v>332000</v>
      </c>
      <c r="T20" s="10">
        <v>0</v>
      </c>
      <c r="U20" s="15">
        <v>1</v>
      </c>
      <c r="V20" s="12" t="s">
        <v>147</v>
      </c>
      <c r="W20" s="10">
        <v>345000</v>
      </c>
      <c r="X20" s="10">
        <v>345000</v>
      </c>
    </row>
    <row r="21" spans="1:24" ht="22" x14ac:dyDescent="0.35">
      <c r="A21" s="3">
        <v>14</v>
      </c>
      <c r="B21" s="3" t="s">
        <v>61</v>
      </c>
      <c r="C21" s="9">
        <v>42968.333333333299</v>
      </c>
      <c r="D21" s="9">
        <v>43179.708333333299</v>
      </c>
      <c r="E21" s="12" t="s">
        <v>63</v>
      </c>
      <c r="F21" s="12"/>
      <c r="G21" s="10">
        <v>0</v>
      </c>
      <c r="H21" s="10">
        <v>0</v>
      </c>
      <c r="I21" s="10">
        <v>37.006578947368403</v>
      </c>
      <c r="J21" s="10">
        <v>45000</v>
      </c>
      <c r="K21" s="10">
        <v>45000</v>
      </c>
      <c r="L21" s="8">
        <v>42968</v>
      </c>
      <c r="M21" s="3" t="s">
        <v>149</v>
      </c>
      <c r="N21" s="10">
        <v>39078.947368421002</v>
      </c>
      <c r="O21" s="10">
        <v>0</v>
      </c>
      <c r="P21" s="12" t="s">
        <v>138</v>
      </c>
      <c r="Q21" s="10">
        <v>16621.052631579001</v>
      </c>
      <c r="R21" s="14">
        <v>0</v>
      </c>
      <c r="S21" s="11">
        <v>55700</v>
      </c>
      <c r="T21" s="10">
        <v>0</v>
      </c>
      <c r="U21" s="15">
        <v>1</v>
      </c>
      <c r="V21" s="12" t="s">
        <v>147</v>
      </c>
      <c r="W21" s="10">
        <v>45000</v>
      </c>
      <c r="X21" s="10">
        <v>45000</v>
      </c>
    </row>
    <row r="22" spans="1:24" ht="22" x14ac:dyDescent="0.35">
      <c r="A22" s="3">
        <v>15</v>
      </c>
      <c r="B22" s="3" t="s">
        <v>64</v>
      </c>
      <c r="C22" s="9">
        <v>43003.333333333299</v>
      </c>
      <c r="D22" s="9">
        <v>43179.708333333299</v>
      </c>
      <c r="E22" s="12" t="s">
        <v>66</v>
      </c>
      <c r="F22" s="12"/>
      <c r="G22" s="10">
        <v>0</v>
      </c>
      <c r="H22" s="10">
        <v>0</v>
      </c>
      <c r="I22" s="10">
        <v>8.8582677165354298</v>
      </c>
      <c r="J22" s="10">
        <v>9000</v>
      </c>
      <c r="K22" s="10">
        <v>9000</v>
      </c>
      <c r="L22" s="8">
        <v>42951</v>
      </c>
      <c r="M22" s="3" t="s">
        <v>193</v>
      </c>
      <c r="N22" s="10">
        <v>10133.8582677165</v>
      </c>
      <c r="O22" s="10">
        <v>0</v>
      </c>
      <c r="P22" s="12" t="s">
        <v>138</v>
      </c>
      <c r="Q22" s="10">
        <v>-1133.85826771654</v>
      </c>
      <c r="R22" s="14">
        <v>0</v>
      </c>
      <c r="S22" s="11">
        <v>9000</v>
      </c>
      <c r="T22" s="10">
        <v>0</v>
      </c>
      <c r="U22" s="15">
        <v>1</v>
      </c>
      <c r="V22" s="12" t="s">
        <v>147</v>
      </c>
      <c r="W22" s="10">
        <v>9000</v>
      </c>
      <c r="X22" s="10">
        <v>9000</v>
      </c>
    </row>
    <row r="23" spans="1:24" x14ac:dyDescent="0.35">
      <c r="A23" s="3">
        <v>16</v>
      </c>
      <c r="B23" s="3" t="s">
        <v>67</v>
      </c>
      <c r="C23" s="9">
        <v>43003.333333333299</v>
      </c>
      <c r="D23" s="9">
        <v>43297.708333333299</v>
      </c>
      <c r="E23" s="12" t="s">
        <v>69</v>
      </c>
      <c r="F23" s="12"/>
      <c r="G23" s="10">
        <v>0</v>
      </c>
      <c r="H23" s="10">
        <v>0</v>
      </c>
      <c r="I23" s="10">
        <v>52.725118483412302</v>
      </c>
      <c r="J23" s="10">
        <v>89000</v>
      </c>
      <c r="K23" s="10">
        <v>89000</v>
      </c>
      <c r="L23" s="8">
        <v>43003</v>
      </c>
      <c r="M23" s="3" t="s">
        <v>60</v>
      </c>
      <c r="N23" s="10">
        <v>65379.146919431303</v>
      </c>
      <c r="O23" s="10">
        <v>65379.146919431303</v>
      </c>
      <c r="P23" s="12" t="s">
        <v>60</v>
      </c>
      <c r="Q23" s="10">
        <v>-13379.146919431299</v>
      </c>
      <c r="R23" s="14">
        <v>0</v>
      </c>
      <c r="S23" s="11">
        <v>52000</v>
      </c>
      <c r="T23" s="10">
        <v>65379.146919431303</v>
      </c>
      <c r="U23" s="15">
        <v>0.5</v>
      </c>
      <c r="V23" s="12" t="s">
        <v>137</v>
      </c>
      <c r="W23" s="10">
        <v>44500</v>
      </c>
      <c r="X23" s="10">
        <v>65379.146919431303</v>
      </c>
    </row>
    <row r="24" spans="1:24" ht="22" x14ac:dyDescent="0.35">
      <c r="A24" s="3">
        <v>17</v>
      </c>
      <c r="B24" s="3" t="s">
        <v>70</v>
      </c>
      <c r="C24" s="9">
        <v>43003.333333333299</v>
      </c>
      <c r="D24" s="9">
        <v>43147.708333333299</v>
      </c>
      <c r="E24" s="12" t="s">
        <v>72</v>
      </c>
      <c r="F24" s="12"/>
      <c r="G24" s="10">
        <v>0</v>
      </c>
      <c r="H24" s="10">
        <v>0</v>
      </c>
      <c r="I24" s="10">
        <v>59.523809523809497</v>
      </c>
      <c r="J24" s="10">
        <v>50000</v>
      </c>
      <c r="K24" s="10">
        <v>50000</v>
      </c>
      <c r="L24" s="8">
        <v>43003</v>
      </c>
      <c r="M24" s="3" t="s">
        <v>60</v>
      </c>
      <c r="N24" s="10">
        <v>73809.523809523802</v>
      </c>
      <c r="O24" s="10">
        <v>0</v>
      </c>
      <c r="P24" s="12" t="s">
        <v>138</v>
      </c>
      <c r="Q24" s="10">
        <v>-31359.523809523798</v>
      </c>
      <c r="R24" s="14">
        <v>0</v>
      </c>
      <c r="S24" s="11">
        <v>42450</v>
      </c>
      <c r="T24" s="10">
        <v>0</v>
      </c>
      <c r="U24" s="15">
        <v>1</v>
      </c>
      <c r="V24" s="12" t="s">
        <v>147</v>
      </c>
      <c r="W24" s="10">
        <v>50000</v>
      </c>
      <c r="X24" s="10">
        <v>50000</v>
      </c>
    </row>
    <row r="25" spans="1:24" ht="22" x14ac:dyDescent="0.35">
      <c r="A25" s="3">
        <v>18</v>
      </c>
      <c r="B25" s="3" t="s">
        <v>73</v>
      </c>
      <c r="C25" s="9">
        <v>43003.333333333299</v>
      </c>
      <c r="D25" s="9">
        <v>43147.708333333299</v>
      </c>
      <c r="E25" s="12" t="s">
        <v>72</v>
      </c>
      <c r="F25" s="12"/>
      <c r="G25" s="10">
        <v>0</v>
      </c>
      <c r="H25" s="10">
        <v>0</v>
      </c>
      <c r="I25" s="10">
        <v>35.714285714285701</v>
      </c>
      <c r="J25" s="10">
        <v>30000</v>
      </c>
      <c r="K25" s="10">
        <v>30000</v>
      </c>
      <c r="L25" s="8">
        <v>43003</v>
      </c>
      <c r="M25" s="3" t="s">
        <v>60</v>
      </c>
      <c r="N25" s="10">
        <v>44285.714285714297</v>
      </c>
      <c r="O25" s="10">
        <v>0</v>
      </c>
      <c r="P25" s="12" t="s">
        <v>138</v>
      </c>
      <c r="Q25" s="10">
        <v>-28285.714285714301</v>
      </c>
      <c r="R25" s="14">
        <v>0</v>
      </c>
      <c r="S25" s="11">
        <v>16000</v>
      </c>
      <c r="T25" s="10">
        <v>0</v>
      </c>
      <c r="U25" s="15">
        <v>1</v>
      </c>
      <c r="V25" s="12" t="s">
        <v>147</v>
      </c>
      <c r="W25" s="10">
        <v>30000</v>
      </c>
      <c r="X25" s="10">
        <v>30000</v>
      </c>
    </row>
    <row r="26" spans="1:24" ht="22" x14ac:dyDescent="0.35">
      <c r="A26" s="3">
        <v>19</v>
      </c>
      <c r="B26" s="3" t="s">
        <v>75</v>
      </c>
      <c r="C26" s="9">
        <v>43059.333333333299</v>
      </c>
      <c r="D26" s="9">
        <v>43238.708333333299</v>
      </c>
      <c r="E26" s="12" t="s">
        <v>77</v>
      </c>
      <c r="F26" s="12"/>
      <c r="G26" s="10">
        <v>0</v>
      </c>
      <c r="H26" s="10">
        <v>0</v>
      </c>
      <c r="I26" s="10">
        <v>38.461538461538503</v>
      </c>
      <c r="J26" s="10">
        <v>40000</v>
      </c>
      <c r="K26" s="10">
        <v>40000</v>
      </c>
      <c r="L26" s="8">
        <v>42999</v>
      </c>
      <c r="M26" s="3" t="s">
        <v>210</v>
      </c>
      <c r="N26" s="10">
        <v>48307.692307692298</v>
      </c>
      <c r="O26" s="10">
        <v>48307.692307692298</v>
      </c>
      <c r="P26" s="12" t="s">
        <v>210</v>
      </c>
      <c r="Q26" s="10">
        <v>-22307.692307692301</v>
      </c>
      <c r="R26" s="14">
        <v>0</v>
      </c>
      <c r="S26" s="11">
        <v>26000</v>
      </c>
      <c r="T26" s="10">
        <v>48307.692307692298</v>
      </c>
      <c r="U26" s="15">
        <v>0.5</v>
      </c>
      <c r="V26" s="12" t="s">
        <v>137</v>
      </c>
      <c r="W26" s="10">
        <v>20000</v>
      </c>
      <c r="X26" s="10">
        <v>35384.615384615397</v>
      </c>
    </row>
    <row r="27" spans="1:24" x14ac:dyDescent="0.35">
      <c r="A27" s="3">
        <v>20</v>
      </c>
      <c r="B27" s="3" t="s">
        <v>78</v>
      </c>
      <c r="C27" s="9">
        <v>43045.333333333299</v>
      </c>
      <c r="D27" s="9">
        <v>43070.708333333299</v>
      </c>
      <c r="E27" s="12" t="s">
        <v>80</v>
      </c>
      <c r="F27" s="12"/>
      <c r="G27" s="10">
        <v>0</v>
      </c>
      <c r="H27" s="10">
        <v>0</v>
      </c>
      <c r="I27" s="10">
        <v>156.25</v>
      </c>
      <c r="J27" s="10">
        <v>25000</v>
      </c>
      <c r="K27" s="10">
        <v>25000</v>
      </c>
      <c r="L27" s="8">
        <v>43045</v>
      </c>
      <c r="M27" s="3" t="s">
        <v>211</v>
      </c>
      <c r="N27" s="10">
        <v>156250</v>
      </c>
      <c r="O27" s="10">
        <v>0</v>
      </c>
      <c r="P27" s="12" t="s">
        <v>138</v>
      </c>
      <c r="Q27" s="10">
        <v>-128250</v>
      </c>
      <c r="R27" s="14">
        <v>0</v>
      </c>
      <c r="S27" s="11">
        <v>28000</v>
      </c>
      <c r="T27" s="10">
        <v>0</v>
      </c>
      <c r="U27" s="15">
        <v>1</v>
      </c>
      <c r="V27" s="12" t="s">
        <v>147</v>
      </c>
      <c r="W27" s="10">
        <v>25000</v>
      </c>
      <c r="X27" s="10">
        <v>25000</v>
      </c>
    </row>
    <row r="28" spans="1:24" x14ac:dyDescent="0.35">
      <c r="A28" s="3">
        <v>21</v>
      </c>
      <c r="B28" s="3" t="s">
        <v>81</v>
      </c>
      <c r="C28" s="9">
        <v>43119.333333333299</v>
      </c>
      <c r="D28" s="9">
        <v>43207.708333333299</v>
      </c>
      <c r="E28" s="12" t="s">
        <v>83</v>
      </c>
      <c r="F28" s="12"/>
      <c r="G28" s="10">
        <v>0</v>
      </c>
      <c r="H28" s="10">
        <v>0</v>
      </c>
      <c r="I28" s="10">
        <v>49.603174603174601</v>
      </c>
      <c r="J28" s="10">
        <v>25000</v>
      </c>
      <c r="K28" s="10">
        <v>25000</v>
      </c>
      <c r="L28" s="8">
        <v>43151</v>
      </c>
      <c r="M28" s="3" t="s">
        <v>212</v>
      </c>
      <c r="N28" s="10">
        <v>19444.444444444402</v>
      </c>
      <c r="O28" s="10">
        <v>0</v>
      </c>
      <c r="P28" s="12" t="s">
        <v>138</v>
      </c>
      <c r="Q28" s="10">
        <v>13355.5555555556</v>
      </c>
      <c r="R28" s="14">
        <v>0</v>
      </c>
      <c r="S28" s="11">
        <v>32800</v>
      </c>
      <c r="T28" s="10">
        <v>0</v>
      </c>
      <c r="U28" s="15">
        <v>1</v>
      </c>
      <c r="V28" s="12" t="s">
        <v>147</v>
      </c>
      <c r="W28" s="10">
        <v>25000</v>
      </c>
      <c r="X28" s="10">
        <v>25000</v>
      </c>
    </row>
    <row r="29" spans="1:24" ht="22" x14ac:dyDescent="0.35">
      <c r="A29" s="3">
        <v>22</v>
      </c>
      <c r="B29" s="3" t="s">
        <v>84</v>
      </c>
      <c r="C29" s="9">
        <v>43070.333333333299</v>
      </c>
      <c r="D29" s="9">
        <v>43098.708333333299</v>
      </c>
      <c r="E29" s="12" t="s">
        <v>26</v>
      </c>
      <c r="F29" s="12"/>
      <c r="G29" s="10">
        <v>0</v>
      </c>
      <c r="H29" s="10">
        <v>0</v>
      </c>
      <c r="I29" s="10">
        <v>107.142857142857</v>
      </c>
      <c r="J29" s="10">
        <v>18000</v>
      </c>
      <c r="K29" s="10">
        <v>18000</v>
      </c>
      <c r="L29" s="8">
        <v>43053</v>
      </c>
      <c r="M29" s="3" t="s">
        <v>205</v>
      </c>
      <c r="N29" s="10">
        <v>60857.142857142899</v>
      </c>
      <c r="O29" s="10">
        <v>0</v>
      </c>
      <c r="P29" s="12" t="s">
        <v>138</v>
      </c>
      <c r="Q29" s="10">
        <v>-45157.142857142899</v>
      </c>
      <c r="R29" s="14">
        <v>0</v>
      </c>
      <c r="S29" s="11">
        <v>15700</v>
      </c>
      <c r="T29" s="10">
        <v>0</v>
      </c>
      <c r="U29" s="15">
        <v>1</v>
      </c>
      <c r="V29" s="12" t="s">
        <v>147</v>
      </c>
      <c r="W29" s="10">
        <v>18000</v>
      </c>
      <c r="X29" s="10">
        <v>18000</v>
      </c>
    </row>
    <row r="30" spans="1:24" ht="22" x14ac:dyDescent="0.35">
      <c r="A30" s="3">
        <v>23</v>
      </c>
      <c r="B30" s="3" t="s">
        <v>86</v>
      </c>
      <c r="C30" s="9">
        <v>43332.333333333299</v>
      </c>
      <c r="D30" s="9">
        <v>43343.708333333299</v>
      </c>
      <c r="E30" s="12" t="s">
        <v>88</v>
      </c>
      <c r="F30" s="12"/>
      <c r="G30" s="10">
        <v>0</v>
      </c>
      <c r="H30" s="10">
        <v>0</v>
      </c>
      <c r="I30" s="10">
        <v>1562.5</v>
      </c>
      <c r="J30" s="10">
        <v>125000</v>
      </c>
      <c r="K30" s="10">
        <v>125000</v>
      </c>
      <c r="L30" s="3"/>
      <c r="M30" s="3" t="s">
        <v>138</v>
      </c>
      <c r="N30" s="10">
        <v>0</v>
      </c>
      <c r="O30" s="10">
        <v>125000</v>
      </c>
      <c r="P30" s="12" t="s">
        <v>88</v>
      </c>
      <c r="Q30" s="10">
        <v>0</v>
      </c>
      <c r="R30" s="14">
        <v>0</v>
      </c>
      <c r="S30" s="11">
        <v>0</v>
      </c>
      <c r="T30" s="10">
        <v>125000</v>
      </c>
      <c r="U30" s="15">
        <v>0</v>
      </c>
      <c r="V30" s="12" t="s">
        <v>139</v>
      </c>
      <c r="W30" s="10">
        <v>0</v>
      </c>
      <c r="X30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30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119</v>
      </c>
      <c r="C1" s="8">
        <v>43242.708333333299</v>
      </c>
      <c r="E1" s="1" t="s">
        <v>120</v>
      </c>
      <c r="F1" s="4" t="s">
        <v>213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121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122</v>
      </c>
      <c r="M4" s="1" t="s">
        <v>123</v>
      </c>
      <c r="N4" s="1" t="s">
        <v>124</v>
      </c>
      <c r="O4" s="1" t="s">
        <v>125</v>
      </c>
      <c r="P4" s="1" t="s">
        <v>126</v>
      </c>
      <c r="Q4" s="1" t="s">
        <v>127</v>
      </c>
      <c r="R4" s="1" t="s">
        <v>128</v>
      </c>
      <c r="S4" s="1" t="s">
        <v>129</v>
      </c>
      <c r="T4" s="1" t="s">
        <v>130</v>
      </c>
      <c r="U4" s="1" t="s">
        <v>131</v>
      </c>
      <c r="V4" s="1" t="s">
        <v>121</v>
      </c>
      <c r="W4" s="1" t="s">
        <v>132</v>
      </c>
      <c r="X4" s="1" t="s">
        <v>133</v>
      </c>
    </row>
    <row r="5" spans="1:24" ht="22" x14ac:dyDescent="0.35">
      <c r="A5" s="2">
        <v>0</v>
      </c>
      <c r="B5" s="3" t="s">
        <v>18</v>
      </c>
      <c r="C5" s="5">
        <v>42674.333333333299</v>
      </c>
      <c r="D5" s="5">
        <v>43343.708333333299</v>
      </c>
      <c r="E5" s="2" t="s">
        <v>20</v>
      </c>
      <c r="F5" s="2"/>
      <c r="G5" s="6"/>
      <c r="H5" s="6">
        <v>0</v>
      </c>
      <c r="I5" s="6"/>
      <c r="J5" s="6"/>
      <c r="K5" s="6">
        <v>1512000</v>
      </c>
      <c r="L5" s="2"/>
      <c r="M5" s="2" t="s">
        <v>214</v>
      </c>
      <c r="N5" s="6"/>
      <c r="O5" s="6"/>
      <c r="P5" s="2"/>
      <c r="Q5" s="6"/>
      <c r="R5" s="6"/>
      <c r="S5" s="6">
        <v>1352970</v>
      </c>
      <c r="T5" s="6"/>
      <c r="U5" s="13">
        <v>0.88525132275132301</v>
      </c>
      <c r="V5" s="2"/>
      <c r="W5" s="6">
        <v>1338500</v>
      </c>
      <c r="X5" s="6">
        <v>1318564.20346639</v>
      </c>
    </row>
    <row r="6" spans="1:24" x14ac:dyDescent="0.35">
      <c r="A6" s="3">
        <v>1</v>
      </c>
      <c r="B6" s="3" t="s">
        <v>21</v>
      </c>
      <c r="C6" s="9">
        <v>42674.333333333299</v>
      </c>
      <c r="D6" s="9">
        <v>43080.708333333299</v>
      </c>
      <c r="E6" s="12" t="s">
        <v>23</v>
      </c>
      <c r="F6" s="12"/>
      <c r="G6" s="10">
        <v>0</v>
      </c>
      <c r="H6" s="10">
        <v>0</v>
      </c>
      <c r="I6" s="10">
        <v>67.439862542955296</v>
      </c>
      <c r="J6" s="10">
        <v>157000</v>
      </c>
      <c r="K6" s="10">
        <v>157000</v>
      </c>
      <c r="L6" s="8">
        <v>42674</v>
      </c>
      <c r="M6" s="3" t="s">
        <v>173</v>
      </c>
      <c r="N6" s="10">
        <v>146749.14089347099</v>
      </c>
      <c r="O6" s="10">
        <v>0</v>
      </c>
      <c r="P6" s="12" t="s">
        <v>138</v>
      </c>
      <c r="Q6" s="10">
        <v>25350.859106529198</v>
      </c>
      <c r="R6" s="14">
        <v>0</v>
      </c>
      <c r="S6" s="11">
        <v>172100</v>
      </c>
      <c r="T6" s="10">
        <v>0</v>
      </c>
      <c r="U6" s="15">
        <v>1</v>
      </c>
      <c r="V6" s="12" t="s">
        <v>147</v>
      </c>
      <c r="W6" s="10">
        <v>157000</v>
      </c>
      <c r="X6" s="10">
        <v>157000</v>
      </c>
    </row>
    <row r="7" spans="1:24" x14ac:dyDescent="0.35">
      <c r="A7" s="4">
        <v>26</v>
      </c>
      <c r="B7" s="4" t="s">
        <v>24</v>
      </c>
      <c r="C7" s="5">
        <v>42793.333333333299</v>
      </c>
      <c r="D7" s="5">
        <v>42821.708333333299</v>
      </c>
      <c r="E7" s="2" t="s">
        <v>26</v>
      </c>
      <c r="F7" s="2"/>
      <c r="G7" s="6"/>
      <c r="H7" s="6">
        <v>0</v>
      </c>
      <c r="I7" s="6"/>
      <c r="J7" s="6"/>
      <c r="K7" s="6">
        <v>71000</v>
      </c>
      <c r="L7" s="2"/>
      <c r="M7" s="2" t="s">
        <v>146</v>
      </c>
      <c r="N7" s="6"/>
      <c r="O7" s="6"/>
      <c r="P7" s="2"/>
      <c r="Q7" s="6"/>
      <c r="R7" s="6"/>
      <c r="S7" s="6">
        <v>69070</v>
      </c>
      <c r="T7" s="6"/>
      <c r="U7" s="13">
        <v>1</v>
      </c>
      <c r="V7" s="2"/>
      <c r="W7" s="6">
        <v>71000</v>
      </c>
      <c r="X7" s="6">
        <v>71000</v>
      </c>
    </row>
    <row r="8" spans="1:24" ht="22" x14ac:dyDescent="0.35">
      <c r="A8" s="3">
        <v>2</v>
      </c>
      <c r="B8" s="3" t="s">
        <v>27</v>
      </c>
      <c r="C8" s="9">
        <v>42793.333333333299</v>
      </c>
      <c r="D8" s="9">
        <v>42793.708333333299</v>
      </c>
      <c r="E8" s="12" t="s">
        <v>29</v>
      </c>
      <c r="F8" s="12"/>
      <c r="G8" s="10">
        <v>0</v>
      </c>
      <c r="H8" s="10">
        <v>0</v>
      </c>
      <c r="I8" s="10">
        <v>1875</v>
      </c>
      <c r="J8" s="10">
        <v>15000</v>
      </c>
      <c r="K8" s="10">
        <v>15000</v>
      </c>
      <c r="L8" s="8">
        <v>42793</v>
      </c>
      <c r="M8" s="3" t="s">
        <v>146</v>
      </c>
      <c r="N8" s="10">
        <v>570000</v>
      </c>
      <c r="O8" s="10">
        <v>0</v>
      </c>
      <c r="P8" s="12" t="s">
        <v>138</v>
      </c>
      <c r="Q8" s="10">
        <v>-553600</v>
      </c>
      <c r="R8" s="14">
        <v>0</v>
      </c>
      <c r="S8" s="11">
        <v>16400</v>
      </c>
      <c r="T8" s="10">
        <v>0</v>
      </c>
      <c r="U8" s="15">
        <v>1</v>
      </c>
      <c r="V8" s="12" t="s">
        <v>147</v>
      </c>
      <c r="W8" s="10">
        <v>15000</v>
      </c>
      <c r="X8" s="10">
        <v>15000</v>
      </c>
    </row>
    <row r="9" spans="1:24" ht="32.5" x14ac:dyDescent="0.35">
      <c r="A9" s="3">
        <v>3</v>
      </c>
      <c r="B9" s="3" t="s">
        <v>30</v>
      </c>
      <c r="C9" s="9">
        <v>42793.333333333299</v>
      </c>
      <c r="D9" s="9">
        <v>42821.708333333299</v>
      </c>
      <c r="E9" s="12" t="s">
        <v>26</v>
      </c>
      <c r="F9" s="12"/>
      <c r="G9" s="10">
        <v>0</v>
      </c>
      <c r="H9" s="10">
        <v>0</v>
      </c>
      <c r="I9" s="10">
        <v>333.33333333333297</v>
      </c>
      <c r="J9" s="10">
        <v>56000</v>
      </c>
      <c r="K9" s="10">
        <v>56000</v>
      </c>
      <c r="L9" s="8">
        <v>42793</v>
      </c>
      <c r="M9" s="3" t="s">
        <v>146</v>
      </c>
      <c r="N9" s="10">
        <v>101333.33333333299</v>
      </c>
      <c r="O9" s="10">
        <v>0</v>
      </c>
      <c r="P9" s="12" t="s">
        <v>138</v>
      </c>
      <c r="Q9" s="10">
        <v>-48663.333333333299</v>
      </c>
      <c r="R9" s="14">
        <v>0</v>
      </c>
      <c r="S9" s="11">
        <v>52670</v>
      </c>
      <c r="T9" s="10">
        <v>0</v>
      </c>
      <c r="U9" s="15">
        <v>1</v>
      </c>
      <c r="V9" s="12" t="s">
        <v>147</v>
      </c>
      <c r="W9" s="10">
        <v>56000</v>
      </c>
      <c r="X9" s="10">
        <v>56000</v>
      </c>
    </row>
    <row r="10" spans="1:24" x14ac:dyDescent="0.35">
      <c r="A10" s="4">
        <v>27</v>
      </c>
      <c r="B10" s="4" t="s">
        <v>32</v>
      </c>
      <c r="C10" s="5">
        <v>42922.333333333299</v>
      </c>
      <c r="D10" s="5">
        <v>42950.708333333299</v>
      </c>
      <c r="E10" s="2" t="s">
        <v>26</v>
      </c>
      <c r="F10" s="2"/>
      <c r="G10" s="6"/>
      <c r="H10" s="6">
        <v>0</v>
      </c>
      <c r="I10" s="6"/>
      <c r="J10" s="6"/>
      <c r="K10" s="6">
        <v>60000</v>
      </c>
      <c r="L10" s="2"/>
      <c r="M10" s="2" t="s">
        <v>162</v>
      </c>
      <c r="N10" s="6"/>
      <c r="O10" s="6"/>
      <c r="P10" s="2"/>
      <c r="Q10" s="6"/>
      <c r="R10" s="6"/>
      <c r="S10" s="6">
        <v>55350</v>
      </c>
      <c r="T10" s="6"/>
      <c r="U10" s="13">
        <v>1</v>
      </c>
      <c r="V10" s="2"/>
      <c r="W10" s="6">
        <v>60000</v>
      </c>
      <c r="X10" s="6">
        <v>60000</v>
      </c>
    </row>
    <row r="11" spans="1:24" ht="22" x14ac:dyDescent="0.35">
      <c r="A11" s="3">
        <v>4</v>
      </c>
      <c r="B11" s="3" t="s">
        <v>34</v>
      </c>
      <c r="C11" s="9">
        <v>42922.333333333299</v>
      </c>
      <c r="D11" s="9">
        <v>42922.708333333299</v>
      </c>
      <c r="E11" s="12" t="s">
        <v>29</v>
      </c>
      <c r="F11" s="12"/>
      <c r="G11" s="10">
        <v>0</v>
      </c>
      <c r="H11" s="10">
        <v>0</v>
      </c>
      <c r="I11" s="10">
        <v>1875</v>
      </c>
      <c r="J11" s="10">
        <v>15000</v>
      </c>
      <c r="K11" s="10">
        <v>15000</v>
      </c>
      <c r="L11" s="8">
        <v>42922</v>
      </c>
      <c r="M11" s="3" t="s">
        <v>154</v>
      </c>
      <c r="N11" s="10">
        <v>330000</v>
      </c>
      <c r="O11" s="10">
        <v>0</v>
      </c>
      <c r="P11" s="12" t="s">
        <v>138</v>
      </c>
      <c r="Q11" s="10">
        <v>-315650</v>
      </c>
      <c r="R11" s="14">
        <v>0</v>
      </c>
      <c r="S11" s="11">
        <v>14350</v>
      </c>
      <c r="T11" s="10">
        <v>0</v>
      </c>
      <c r="U11" s="15">
        <v>1</v>
      </c>
      <c r="V11" s="12" t="s">
        <v>147</v>
      </c>
      <c r="W11" s="10">
        <v>15000</v>
      </c>
      <c r="X11" s="10">
        <v>15000</v>
      </c>
    </row>
    <row r="12" spans="1:24" ht="32.5" x14ac:dyDescent="0.35">
      <c r="A12" s="3">
        <v>5</v>
      </c>
      <c r="B12" s="3" t="s">
        <v>36</v>
      </c>
      <c r="C12" s="9">
        <v>42922.333333333299</v>
      </c>
      <c r="D12" s="9">
        <v>42950.708333333299</v>
      </c>
      <c r="E12" s="12" t="s">
        <v>26</v>
      </c>
      <c r="F12" s="12"/>
      <c r="G12" s="10">
        <v>0</v>
      </c>
      <c r="H12" s="10">
        <v>0</v>
      </c>
      <c r="I12" s="10">
        <v>267.857142857143</v>
      </c>
      <c r="J12" s="10">
        <v>45000</v>
      </c>
      <c r="K12" s="10">
        <v>45000</v>
      </c>
      <c r="L12" s="8">
        <v>42922</v>
      </c>
      <c r="M12" s="3" t="s">
        <v>162</v>
      </c>
      <c r="N12" s="10">
        <v>120000</v>
      </c>
      <c r="O12" s="10">
        <v>0</v>
      </c>
      <c r="P12" s="12" t="s">
        <v>138</v>
      </c>
      <c r="Q12" s="10">
        <v>-79000</v>
      </c>
      <c r="R12" s="14">
        <v>0</v>
      </c>
      <c r="S12" s="11">
        <v>41000</v>
      </c>
      <c r="T12" s="10">
        <v>0</v>
      </c>
      <c r="U12" s="15">
        <v>1</v>
      </c>
      <c r="V12" s="12" t="s">
        <v>147</v>
      </c>
      <c r="W12" s="10">
        <v>45000</v>
      </c>
      <c r="X12" s="10">
        <v>45000</v>
      </c>
    </row>
    <row r="13" spans="1:24" ht="22" x14ac:dyDescent="0.35">
      <c r="A13" s="3">
        <v>6</v>
      </c>
      <c r="B13" s="3" t="s">
        <v>38</v>
      </c>
      <c r="C13" s="9">
        <v>42821.333333333299</v>
      </c>
      <c r="D13" s="9">
        <v>43031.708333333299</v>
      </c>
      <c r="E13" s="12" t="s">
        <v>40</v>
      </c>
      <c r="F13" s="12"/>
      <c r="G13" s="10">
        <v>0</v>
      </c>
      <c r="H13" s="10">
        <v>0</v>
      </c>
      <c r="I13" s="10">
        <v>48.013245033112597</v>
      </c>
      <c r="J13" s="10">
        <v>58000</v>
      </c>
      <c r="K13" s="10">
        <v>58000</v>
      </c>
      <c r="L13" s="8">
        <v>42821</v>
      </c>
      <c r="M13" s="3" t="s">
        <v>163</v>
      </c>
      <c r="N13" s="10">
        <v>49549.668874172203</v>
      </c>
      <c r="O13" s="10">
        <v>0</v>
      </c>
      <c r="P13" s="12" t="s">
        <v>138</v>
      </c>
      <c r="Q13" s="10">
        <v>2450.33112582781</v>
      </c>
      <c r="R13" s="14">
        <v>0</v>
      </c>
      <c r="S13" s="11">
        <v>52000</v>
      </c>
      <c r="T13" s="10">
        <v>0</v>
      </c>
      <c r="U13" s="15">
        <v>1</v>
      </c>
      <c r="V13" s="12" t="s">
        <v>147</v>
      </c>
      <c r="W13" s="10">
        <v>58000</v>
      </c>
      <c r="X13" s="10">
        <v>58000</v>
      </c>
    </row>
    <row r="14" spans="1:24" ht="22" x14ac:dyDescent="0.35">
      <c r="A14" s="3">
        <v>7</v>
      </c>
      <c r="B14" s="3" t="s">
        <v>41</v>
      </c>
      <c r="C14" s="9">
        <v>42821.333333333299</v>
      </c>
      <c r="D14" s="9">
        <v>43038.708333333299</v>
      </c>
      <c r="E14" s="12" t="s">
        <v>43</v>
      </c>
      <c r="F14" s="12"/>
      <c r="G14" s="10">
        <v>0</v>
      </c>
      <c r="H14" s="10">
        <v>0</v>
      </c>
      <c r="I14" s="10">
        <v>17.628205128205099</v>
      </c>
      <c r="J14" s="10">
        <v>22000</v>
      </c>
      <c r="K14" s="10">
        <v>22000</v>
      </c>
      <c r="L14" s="8">
        <v>42821</v>
      </c>
      <c r="M14" s="3" t="s">
        <v>163</v>
      </c>
      <c r="N14" s="10">
        <v>18192.307692307699</v>
      </c>
      <c r="O14" s="10">
        <v>0</v>
      </c>
      <c r="P14" s="12" t="s">
        <v>138</v>
      </c>
      <c r="Q14" s="10">
        <v>5307.6923076923104</v>
      </c>
      <c r="R14" s="14">
        <v>0</v>
      </c>
      <c r="S14" s="11">
        <v>23500</v>
      </c>
      <c r="T14" s="10">
        <v>0</v>
      </c>
      <c r="U14" s="15">
        <v>1</v>
      </c>
      <c r="V14" s="12" t="s">
        <v>147</v>
      </c>
      <c r="W14" s="10">
        <v>22000</v>
      </c>
      <c r="X14" s="10">
        <v>22000</v>
      </c>
    </row>
    <row r="15" spans="1:24" ht="22" x14ac:dyDescent="0.35">
      <c r="A15" s="3">
        <v>8</v>
      </c>
      <c r="B15" s="3" t="s">
        <v>44</v>
      </c>
      <c r="C15" s="9">
        <v>42950.333333333299</v>
      </c>
      <c r="D15" s="9">
        <v>43112.708333333299</v>
      </c>
      <c r="E15" s="12" t="s">
        <v>46</v>
      </c>
      <c r="F15" s="12"/>
      <c r="G15" s="10">
        <v>0</v>
      </c>
      <c r="H15" s="10">
        <v>0</v>
      </c>
      <c r="I15" s="10">
        <v>58.760683760683797</v>
      </c>
      <c r="J15" s="10">
        <v>55000</v>
      </c>
      <c r="K15" s="10">
        <v>55000</v>
      </c>
      <c r="L15" s="8">
        <v>42951</v>
      </c>
      <c r="M15" s="3" t="s">
        <v>193</v>
      </c>
      <c r="N15" s="10">
        <v>67222.222222222204</v>
      </c>
      <c r="O15" s="10">
        <v>0</v>
      </c>
      <c r="P15" s="12" t="s">
        <v>138</v>
      </c>
      <c r="Q15" s="10">
        <v>-16722.222222222201</v>
      </c>
      <c r="R15" s="14">
        <v>0</v>
      </c>
      <c r="S15" s="11">
        <v>50500</v>
      </c>
      <c r="T15" s="10">
        <v>0</v>
      </c>
      <c r="U15" s="15">
        <v>1</v>
      </c>
      <c r="V15" s="12" t="s">
        <v>147</v>
      </c>
      <c r="W15" s="10">
        <v>55000</v>
      </c>
      <c r="X15" s="10">
        <v>55000</v>
      </c>
    </row>
    <row r="16" spans="1:24" ht="22" x14ac:dyDescent="0.35">
      <c r="A16" s="3">
        <v>9</v>
      </c>
      <c r="B16" s="3" t="s">
        <v>47</v>
      </c>
      <c r="C16" s="9">
        <v>42950.333333333299</v>
      </c>
      <c r="D16" s="9">
        <v>43119.708333333299</v>
      </c>
      <c r="E16" s="12" t="s">
        <v>49</v>
      </c>
      <c r="F16" s="12"/>
      <c r="G16" s="10">
        <v>0</v>
      </c>
      <c r="H16" s="10">
        <v>0</v>
      </c>
      <c r="I16" s="10">
        <v>20.491803278688501</v>
      </c>
      <c r="J16" s="10">
        <v>20000</v>
      </c>
      <c r="K16" s="10">
        <v>20000</v>
      </c>
      <c r="L16" s="8">
        <v>42951</v>
      </c>
      <c r="M16" s="3" t="s">
        <v>208</v>
      </c>
      <c r="N16" s="10">
        <v>31311.475409836101</v>
      </c>
      <c r="O16" s="10">
        <v>0</v>
      </c>
      <c r="P16" s="12" t="s">
        <v>138</v>
      </c>
      <c r="Q16" s="10">
        <v>-10311.475409836101</v>
      </c>
      <c r="R16" s="14">
        <v>0</v>
      </c>
      <c r="S16" s="11">
        <v>21000</v>
      </c>
      <c r="T16" s="10">
        <v>0</v>
      </c>
      <c r="U16" s="15">
        <v>1</v>
      </c>
      <c r="V16" s="12" t="s">
        <v>147</v>
      </c>
      <c r="W16" s="10">
        <v>20000</v>
      </c>
      <c r="X16" s="10">
        <v>20000</v>
      </c>
    </row>
    <row r="17" spans="1:24" ht="22" x14ac:dyDescent="0.35">
      <c r="A17" s="3">
        <v>10</v>
      </c>
      <c r="B17" s="3" t="s">
        <v>50</v>
      </c>
      <c r="C17" s="9">
        <v>42944.333333333299</v>
      </c>
      <c r="D17" s="9">
        <v>43332.708333333299</v>
      </c>
      <c r="E17" s="12" t="s">
        <v>52</v>
      </c>
      <c r="F17" s="12"/>
      <c r="G17" s="10">
        <v>0</v>
      </c>
      <c r="H17" s="10">
        <v>0</v>
      </c>
      <c r="I17" s="10">
        <v>101.534296028881</v>
      </c>
      <c r="J17" s="10">
        <v>225000</v>
      </c>
      <c r="K17" s="10">
        <v>225000</v>
      </c>
      <c r="L17" s="8">
        <v>42951</v>
      </c>
      <c r="M17" s="3" t="s">
        <v>215</v>
      </c>
      <c r="N17" s="10">
        <v>168953.068592058</v>
      </c>
      <c r="O17" s="10">
        <v>0</v>
      </c>
      <c r="P17" s="12" t="s">
        <v>138</v>
      </c>
      <c r="Q17" s="10">
        <v>71046.931407942306</v>
      </c>
      <c r="R17" s="14">
        <v>0</v>
      </c>
      <c r="S17" s="11">
        <v>240000</v>
      </c>
      <c r="T17" s="10">
        <v>0</v>
      </c>
      <c r="U17" s="15">
        <v>1</v>
      </c>
      <c r="V17" s="12" t="s">
        <v>147</v>
      </c>
      <c r="W17" s="10">
        <v>225000</v>
      </c>
      <c r="X17" s="10">
        <v>173014.44043321299</v>
      </c>
    </row>
    <row r="18" spans="1:24" ht="22" x14ac:dyDescent="0.35">
      <c r="A18" s="3">
        <v>11</v>
      </c>
      <c r="B18" s="3" t="s">
        <v>53</v>
      </c>
      <c r="C18" s="9">
        <v>43031.333333333299</v>
      </c>
      <c r="D18" s="9">
        <v>43168.708333333299</v>
      </c>
      <c r="E18" s="12" t="s">
        <v>55</v>
      </c>
      <c r="F18" s="12"/>
      <c r="G18" s="10">
        <v>0</v>
      </c>
      <c r="H18" s="10">
        <v>0</v>
      </c>
      <c r="I18" s="10">
        <v>10</v>
      </c>
      <c r="J18" s="10">
        <v>8000</v>
      </c>
      <c r="K18" s="10">
        <v>8000</v>
      </c>
      <c r="L18" s="8">
        <v>43031</v>
      </c>
      <c r="M18" s="3" t="s">
        <v>196</v>
      </c>
      <c r="N18" s="10">
        <v>6960</v>
      </c>
      <c r="O18" s="10">
        <v>0</v>
      </c>
      <c r="P18" s="12" t="s">
        <v>138</v>
      </c>
      <c r="Q18" s="10">
        <v>2240</v>
      </c>
      <c r="R18" s="14">
        <v>0</v>
      </c>
      <c r="S18" s="11">
        <v>9200</v>
      </c>
      <c r="T18" s="10">
        <v>0</v>
      </c>
      <c r="U18" s="15">
        <v>1</v>
      </c>
      <c r="V18" s="12" t="s">
        <v>147</v>
      </c>
      <c r="W18" s="10">
        <v>8000</v>
      </c>
      <c r="X18" s="10">
        <v>8000</v>
      </c>
    </row>
    <row r="19" spans="1:24" ht="32.5" x14ac:dyDescent="0.35">
      <c r="A19" s="3">
        <v>12</v>
      </c>
      <c r="B19" s="3" t="s">
        <v>56</v>
      </c>
      <c r="C19" s="9">
        <v>43031.333333333299</v>
      </c>
      <c r="D19" s="9">
        <v>43168.708333333299</v>
      </c>
      <c r="E19" s="12" t="s">
        <v>55</v>
      </c>
      <c r="F19" s="12"/>
      <c r="G19" s="10">
        <v>0</v>
      </c>
      <c r="H19" s="10">
        <v>0</v>
      </c>
      <c r="I19" s="10">
        <v>43.75</v>
      </c>
      <c r="J19" s="10">
        <v>35000</v>
      </c>
      <c r="K19" s="10">
        <v>35000</v>
      </c>
      <c r="L19" s="8">
        <v>43031</v>
      </c>
      <c r="M19" s="3" t="s">
        <v>196</v>
      </c>
      <c r="N19" s="10">
        <v>30450</v>
      </c>
      <c r="O19" s="10">
        <v>0</v>
      </c>
      <c r="P19" s="12" t="s">
        <v>138</v>
      </c>
      <c r="Q19" s="10">
        <v>-650</v>
      </c>
      <c r="R19" s="14">
        <v>0</v>
      </c>
      <c r="S19" s="11">
        <v>29800</v>
      </c>
      <c r="T19" s="10">
        <v>0</v>
      </c>
      <c r="U19" s="15">
        <v>1</v>
      </c>
      <c r="V19" s="12" t="s">
        <v>147</v>
      </c>
      <c r="W19" s="10">
        <v>35000</v>
      </c>
      <c r="X19" s="10">
        <v>35000</v>
      </c>
    </row>
    <row r="20" spans="1:24" x14ac:dyDescent="0.35">
      <c r="A20" s="3">
        <v>13</v>
      </c>
      <c r="B20" s="3" t="s">
        <v>58</v>
      </c>
      <c r="C20" s="9">
        <v>42968.333333333299</v>
      </c>
      <c r="D20" s="9">
        <v>43182.708333333299</v>
      </c>
      <c r="E20" s="12" t="s">
        <v>60</v>
      </c>
      <c r="F20" s="12"/>
      <c r="G20" s="10">
        <v>0</v>
      </c>
      <c r="H20" s="10">
        <v>0</v>
      </c>
      <c r="I20" s="10">
        <v>278.22580645161298</v>
      </c>
      <c r="J20" s="10">
        <v>345000</v>
      </c>
      <c r="K20" s="10">
        <v>345000</v>
      </c>
      <c r="L20" s="8">
        <v>42968</v>
      </c>
      <c r="M20" s="3" t="s">
        <v>149</v>
      </c>
      <c r="N20" s="10">
        <v>293806.45161290298</v>
      </c>
      <c r="O20" s="10">
        <v>0</v>
      </c>
      <c r="P20" s="12" t="s">
        <v>138</v>
      </c>
      <c r="Q20" s="10">
        <v>38193.5483870967</v>
      </c>
      <c r="R20" s="14">
        <v>0</v>
      </c>
      <c r="S20" s="11">
        <v>332000</v>
      </c>
      <c r="T20" s="10">
        <v>0</v>
      </c>
      <c r="U20" s="15">
        <v>1</v>
      </c>
      <c r="V20" s="12" t="s">
        <v>147</v>
      </c>
      <c r="W20" s="10">
        <v>345000</v>
      </c>
      <c r="X20" s="10">
        <v>345000</v>
      </c>
    </row>
    <row r="21" spans="1:24" ht="22" x14ac:dyDescent="0.35">
      <c r="A21" s="3">
        <v>14</v>
      </c>
      <c r="B21" s="3" t="s">
        <v>61</v>
      </c>
      <c r="C21" s="9">
        <v>42968.333333333299</v>
      </c>
      <c r="D21" s="9">
        <v>43179.708333333299</v>
      </c>
      <c r="E21" s="12" t="s">
        <v>63</v>
      </c>
      <c r="F21" s="12"/>
      <c r="G21" s="10">
        <v>0</v>
      </c>
      <c r="H21" s="10">
        <v>0</v>
      </c>
      <c r="I21" s="10">
        <v>37.006578947368403</v>
      </c>
      <c r="J21" s="10">
        <v>45000</v>
      </c>
      <c r="K21" s="10">
        <v>45000</v>
      </c>
      <c r="L21" s="8">
        <v>42968</v>
      </c>
      <c r="M21" s="3" t="s">
        <v>149</v>
      </c>
      <c r="N21" s="10">
        <v>39078.947368421002</v>
      </c>
      <c r="O21" s="10">
        <v>0</v>
      </c>
      <c r="P21" s="12" t="s">
        <v>138</v>
      </c>
      <c r="Q21" s="10">
        <v>16621.052631579001</v>
      </c>
      <c r="R21" s="14">
        <v>0</v>
      </c>
      <c r="S21" s="11">
        <v>55700</v>
      </c>
      <c r="T21" s="10">
        <v>0</v>
      </c>
      <c r="U21" s="15">
        <v>1</v>
      </c>
      <c r="V21" s="12" t="s">
        <v>147</v>
      </c>
      <c r="W21" s="10">
        <v>45000</v>
      </c>
      <c r="X21" s="10">
        <v>45000</v>
      </c>
    </row>
    <row r="22" spans="1:24" ht="22" x14ac:dyDescent="0.35">
      <c r="A22" s="3">
        <v>15</v>
      </c>
      <c r="B22" s="3" t="s">
        <v>64</v>
      </c>
      <c r="C22" s="9">
        <v>43003.333333333299</v>
      </c>
      <c r="D22" s="9">
        <v>43179.708333333299</v>
      </c>
      <c r="E22" s="12" t="s">
        <v>66</v>
      </c>
      <c r="F22" s="12"/>
      <c r="G22" s="10">
        <v>0</v>
      </c>
      <c r="H22" s="10">
        <v>0</v>
      </c>
      <c r="I22" s="10">
        <v>8.8582677165354298</v>
      </c>
      <c r="J22" s="10">
        <v>9000</v>
      </c>
      <c r="K22" s="10">
        <v>9000</v>
      </c>
      <c r="L22" s="8">
        <v>42951</v>
      </c>
      <c r="M22" s="3" t="s">
        <v>193</v>
      </c>
      <c r="N22" s="10">
        <v>10133.8582677165</v>
      </c>
      <c r="O22" s="10">
        <v>0</v>
      </c>
      <c r="P22" s="12" t="s">
        <v>138</v>
      </c>
      <c r="Q22" s="10">
        <v>-1133.85826771654</v>
      </c>
      <c r="R22" s="14">
        <v>0</v>
      </c>
      <c r="S22" s="11">
        <v>9000</v>
      </c>
      <c r="T22" s="10">
        <v>0</v>
      </c>
      <c r="U22" s="15">
        <v>1</v>
      </c>
      <c r="V22" s="12" t="s">
        <v>147</v>
      </c>
      <c r="W22" s="10">
        <v>9000</v>
      </c>
      <c r="X22" s="10">
        <v>9000</v>
      </c>
    </row>
    <row r="23" spans="1:24" x14ac:dyDescent="0.35">
      <c r="A23" s="3">
        <v>16</v>
      </c>
      <c r="B23" s="3" t="s">
        <v>67</v>
      </c>
      <c r="C23" s="9">
        <v>43003.333333333299</v>
      </c>
      <c r="D23" s="9">
        <v>43297.708333333299</v>
      </c>
      <c r="E23" s="12" t="s">
        <v>69</v>
      </c>
      <c r="F23" s="12"/>
      <c r="G23" s="10">
        <v>0</v>
      </c>
      <c r="H23" s="10">
        <v>0</v>
      </c>
      <c r="I23" s="10">
        <v>52.725118483412302</v>
      </c>
      <c r="J23" s="10">
        <v>89000</v>
      </c>
      <c r="K23" s="10">
        <v>89000</v>
      </c>
      <c r="L23" s="8">
        <v>43003</v>
      </c>
      <c r="M23" s="3" t="s">
        <v>216</v>
      </c>
      <c r="N23" s="10">
        <v>72549.763033175404</v>
      </c>
      <c r="O23" s="10">
        <v>72549.763033175404</v>
      </c>
      <c r="P23" s="12" t="s">
        <v>216</v>
      </c>
      <c r="Q23" s="10">
        <v>-20549.763033175401</v>
      </c>
      <c r="R23" s="14">
        <v>0</v>
      </c>
      <c r="S23" s="11">
        <v>52000</v>
      </c>
      <c r="T23" s="10">
        <v>72549.763033175404</v>
      </c>
      <c r="U23" s="15">
        <v>0.5</v>
      </c>
      <c r="V23" s="12" t="s">
        <v>137</v>
      </c>
      <c r="W23" s="10">
        <v>44500</v>
      </c>
      <c r="X23" s="10">
        <v>72549.763033175404</v>
      </c>
    </row>
    <row r="24" spans="1:24" ht="22" x14ac:dyDescent="0.35">
      <c r="A24" s="3">
        <v>17</v>
      </c>
      <c r="B24" s="3" t="s">
        <v>70</v>
      </c>
      <c r="C24" s="9">
        <v>43003.333333333299</v>
      </c>
      <c r="D24" s="9">
        <v>43147.708333333299</v>
      </c>
      <c r="E24" s="12" t="s">
        <v>72</v>
      </c>
      <c r="F24" s="12"/>
      <c r="G24" s="10">
        <v>0</v>
      </c>
      <c r="H24" s="10">
        <v>0</v>
      </c>
      <c r="I24" s="10">
        <v>59.523809523809497</v>
      </c>
      <c r="J24" s="10">
        <v>50000</v>
      </c>
      <c r="K24" s="10">
        <v>50000</v>
      </c>
      <c r="L24" s="8">
        <v>43003</v>
      </c>
      <c r="M24" s="3" t="s">
        <v>60</v>
      </c>
      <c r="N24" s="10">
        <v>73809.523809523802</v>
      </c>
      <c r="O24" s="10">
        <v>0</v>
      </c>
      <c r="P24" s="12" t="s">
        <v>138</v>
      </c>
      <c r="Q24" s="10">
        <v>-31359.523809523798</v>
      </c>
      <c r="R24" s="14">
        <v>0</v>
      </c>
      <c r="S24" s="11">
        <v>42450</v>
      </c>
      <c r="T24" s="10">
        <v>0</v>
      </c>
      <c r="U24" s="15">
        <v>1</v>
      </c>
      <c r="V24" s="12" t="s">
        <v>147</v>
      </c>
      <c r="W24" s="10">
        <v>50000</v>
      </c>
      <c r="X24" s="10">
        <v>50000</v>
      </c>
    </row>
    <row r="25" spans="1:24" ht="22" x14ac:dyDescent="0.35">
      <c r="A25" s="3">
        <v>18</v>
      </c>
      <c r="B25" s="3" t="s">
        <v>73</v>
      </c>
      <c r="C25" s="9">
        <v>43003.333333333299</v>
      </c>
      <c r="D25" s="9">
        <v>43147.708333333299</v>
      </c>
      <c r="E25" s="12" t="s">
        <v>72</v>
      </c>
      <c r="F25" s="12"/>
      <c r="G25" s="10">
        <v>0</v>
      </c>
      <c r="H25" s="10">
        <v>0</v>
      </c>
      <c r="I25" s="10">
        <v>35.714285714285701</v>
      </c>
      <c r="J25" s="10">
        <v>30000</v>
      </c>
      <c r="K25" s="10">
        <v>30000</v>
      </c>
      <c r="L25" s="8">
        <v>43003</v>
      </c>
      <c r="M25" s="3" t="s">
        <v>60</v>
      </c>
      <c r="N25" s="10">
        <v>44285.714285714297</v>
      </c>
      <c r="O25" s="10">
        <v>0</v>
      </c>
      <c r="P25" s="12" t="s">
        <v>138</v>
      </c>
      <c r="Q25" s="10">
        <v>-28285.714285714301</v>
      </c>
      <c r="R25" s="14">
        <v>0</v>
      </c>
      <c r="S25" s="11">
        <v>16000</v>
      </c>
      <c r="T25" s="10">
        <v>0</v>
      </c>
      <c r="U25" s="15">
        <v>1</v>
      </c>
      <c r="V25" s="12" t="s">
        <v>147</v>
      </c>
      <c r="W25" s="10">
        <v>30000</v>
      </c>
      <c r="X25" s="10">
        <v>30000</v>
      </c>
    </row>
    <row r="26" spans="1:24" ht="22" x14ac:dyDescent="0.35">
      <c r="A26" s="3">
        <v>19</v>
      </c>
      <c r="B26" s="3" t="s">
        <v>75</v>
      </c>
      <c r="C26" s="9">
        <v>43059.333333333299</v>
      </c>
      <c r="D26" s="9">
        <v>43238.708333333299</v>
      </c>
      <c r="E26" s="12" t="s">
        <v>77</v>
      </c>
      <c r="F26" s="12"/>
      <c r="G26" s="10">
        <v>0</v>
      </c>
      <c r="H26" s="10">
        <v>0</v>
      </c>
      <c r="I26" s="10">
        <v>38.461538461538503</v>
      </c>
      <c r="J26" s="10">
        <v>40000</v>
      </c>
      <c r="K26" s="10">
        <v>40000</v>
      </c>
      <c r="L26" s="8">
        <v>42999</v>
      </c>
      <c r="M26" s="3" t="s">
        <v>217</v>
      </c>
      <c r="N26" s="10">
        <v>53538.461538461503</v>
      </c>
      <c r="O26" s="10">
        <v>5961.5384615384601</v>
      </c>
      <c r="P26" s="12" t="s">
        <v>218</v>
      </c>
      <c r="Q26" s="10">
        <v>-6738.4615384615399</v>
      </c>
      <c r="R26" s="14">
        <v>0</v>
      </c>
      <c r="S26" s="11">
        <v>46800</v>
      </c>
      <c r="T26" s="10">
        <v>5961.5384615384601</v>
      </c>
      <c r="U26" s="15">
        <v>0.9</v>
      </c>
      <c r="V26" s="12" t="s">
        <v>137</v>
      </c>
      <c r="W26" s="10">
        <v>36000</v>
      </c>
      <c r="X26" s="10">
        <v>40000</v>
      </c>
    </row>
    <row r="27" spans="1:24" x14ac:dyDescent="0.35">
      <c r="A27" s="3">
        <v>20</v>
      </c>
      <c r="B27" s="3" t="s">
        <v>78</v>
      </c>
      <c r="C27" s="9">
        <v>43045.333333333299</v>
      </c>
      <c r="D27" s="9">
        <v>43070.708333333299</v>
      </c>
      <c r="E27" s="12" t="s">
        <v>80</v>
      </c>
      <c r="F27" s="12"/>
      <c r="G27" s="10">
        <v>0</v>
      </c>
      <c r="H27" s="10">
        <v>0</v>
      </c>
      <c r="I27" s="10">
        <v>156.25</v>
      </c>
      <c r="J27" s="10">
        <v>25000</v>
      </c>
      <c r="K27" s="10">
        <v>25000</v>
      </c>
      <c r="L27" s="8">
        <v>43045</v>
      </c>
      <c r="M27" s="3" t="s">
        <v>211</v>
      </c>
      <c r="N27" s="10">
        <v>156250</v>
      </c>
      <c r="O27" s="10">
        <v>0</v>
      </c>
      <c r="P27" s="12" t="s">
        <v>138</v>
      </c>
      <c r="Q27" s="10">
        <v>-128250</v>
      </c>
      <c r="R27" s="14">
        <v>0</v>
      </c>
      <c r="S27" s="11">
        <v>28000</v>
      </c>
      <c r="T27" s="10">
        <v>0</v>
      </c>
      <c r="U27" s="15">
        <v>1</v>
      </c>
      <c r="V27" s="12" t="s">
        <v>147</v>
      </c>
      <c r="W27" s="10">
        <v>25000</v>
      </c>
      <c r="X27" s="10">
        <v>25000</v>
      </c>
    </row>
    <row r="28" spans="1:24" x14ac:dyDescent="0.35">
      <c r="A28" s="3">
        <v>21</v>
      </c>
      <c r="B28" s="3" t="s">
        <v>81</v>
      </c>
      <c r="C28" s="9">
        <v>43119.333333333299</v>
      </c>
      <c r="D28" s="9">
        <v>43207.708333333299</v>
      </c>
      <c r="E28" s="12" t="s">
        <v>83</v>
      </c>
      <c r="F28" s="12"/>
      <c r="G28" s="10">
        <v>0</v>
      </c>
      <c r="H28" s="10">
        <v>0</v>
      </c>
      <c r="I28" s="10">
        <v>49.603174603174601</v>
      </c>
      <c r="J28" s="10">
        <v>25000</v>
      </c>
      <c r="K28" s="10">
        <v>25000</v>
      </c>
      <c r="L28" s="8">
        <v>43151</v>
      </c>
      <c r="M28" s="3" t="s">
        <v>212</v>
      </c>
      <c r="N28" s="10">
        <v>19444.444444444402</v>
      </c>
      <c r="O28" s="10">
        <v>0</v>
      </c>
      <c r="P28" s="12" t="s">
        <v>138</v>
      </c>
      <c r="Q28" s="10">
        <v>13355.5555555556</v>
      </c>
      <c r="R28" s="14">
        <v>0</v>
      </c>
      <c r="S28" s="11">
        <v>32800</v>
      </c>
      <c r="T28" s="10">
        <v>0</v>
      </c>
      <c r="U28" s="15">
        <v>1</v>
      </c>
      <c r="V28" s="12" t="s">
        <v>147</v>
      </c>
      <c r="W28" s="10">
        <v>25000</v>
      </c>
      <c r="X28" s="10">
        <v>25000</v>
      </c>
    </row>
    <row r="29" spans="1:24" ht="22" x14ac:dyDescent="0.35">
      <c r="A29" s="3">
        <v>22</v>
      </c>
      <c r="B29" s="3" t="s">
        <v>84</v>
      </c>
      <c r="C29" s="9">
        <v>43070.333333333299</v>
      </c>
      <c r="D29" s="9">
        <v>43098.708333333299</v>
      </c>
      <c r="E29" s="12" t="s">
        <v>26</v>
      </c>
      <c r="F29" s="12"/>
      <c r="G29" s="10">
        <v>0</v>
      </c>
      <c r="H29" s="10">
        <v>0</v>
      </c>
      <c r="I29" s="10">
        <v>107.142857142857</v>
      </c>
      <c r="J29" s="10">
        <v>18000</v>
      </c>
      <c r="K29" s="10">
        <v>18000</v>
      </c>
      <c r="L29" s="8">
        <v>43053</v>
      </c>
      <c r="M29" s="3" t="s">
        <v>205</v>
      </c>
      <c r="N29" s="10">
        <v>60857.142857142899</v>
      </c>
      <c r="O29" s="10">
        <v>0</v>
      </c>
      <c r="P29" s="12" t="s">
        <v>138</v>
      </c>
      <c r="Q29" s="10">
        <v>-45157.142857142899</v>
      </c>
      <c r="R29" s="14">
        <v>0</v>
      </c>
      <c r="S29" s="11">
        <v>15700</v>
      </c>
      <c r="T29" s="10">
        <v>0</v>
      </c>
      <c r="U29" s="15">
        <v>1</v>
      </c>
      <c r="V29" s="12" t="s">
        <v>147</v>
      </c>
      <c r="W29" s="10">
        <v>18000</v>
      </c>
      <c r="X29" s="10">
        <v>18000</v>
      </c>
    </row>
    <row r="30" spans="1:24" ht="22" x14ac:dyDescent="0.35">
      <c r="A30" s="3">
        <v>23</v>
      </c>
      <c r="B30" s="3" t="s">
        <v>86</v>
      </c>
      <c r="C30" s="9">
        <v>43332.333333333299</v>
      </c>
      <c r="D30" s="9">
        <v>43343.708333333299</v>
      </c>
      <c r="E30" s="12" t="s">
        <v>88</v>
      </c>
      <c r="F30" s="12"/>
      <c r="G30" s="10">
        <v>0</v>
      </c>
      <c r="H30" s="10">
        <v>0</v>
      </c>
      <c r="I30" s="10">
        <v>1562.5</v>
      </c>
      <c r="J30" s="10">
        <v>125000</v>
      </c>
      <c r="K30" s="10">
        <v>125000</v>
      </c>
      <c r="L30" s="3"/>
      <c r="M30" s="3" t="s">
        <v>138</v>
      </c>
      <c r="N30" s="10">
        <v>0</v>
      </c>
      <c r="O30" s="10">
        <v>125000</v>
      </c>
      <c r="P30" s="12" t="s">
        <v>88</v>
      </c>
      <c r="Q30" s="10">
        <v>0</v>
      </c>
      <c r="R30" s="14">
        <v>0</v>
      </c>
      <c r="S30" s="11">
        <v>0</v>
      </c>
      <c r="T30" s="10">
        <v>125000</v>
      </c>
      <c r="U30" s="15">
        <v>0</v>
      </c>
      <c r="V30" s="12" t="s">
        <v>139</v>
      </c>
      <c r="W30" s="10">
        <v>0</v>
      </c>
      <c r="X30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30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119</v>
      </c>
      <c r="C1" s="8">
        <v>43344.708333333299</v>
      </c>
      <c r="E1" s="1" t="s">
        <v>120</v>
      </c>
      <c r="F1" s="4" t="s">
        <v>219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121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122</v>
      </c>
      <c r="M4" s="1" t="s">
        <v>123</v>
      </c>
      <c r="N4" s="1" t="s">
        <v>124</v>
      </c>
      <c r="O4" s="1" t="s">
        <v>125</v>
      </c>
      <c r="P4" s="1" t="s">
        <v>126</v>
      </c>
      <c r="Q4" s="1" t="s">
        <v>127</v>
      </c>
      <c r="R4" s="1" t="s">
        <v>128</v>
      </c>
      <c r="S4" s="1" t="s">
        <v>129</v>
      </c>
      <c r="T4" s="1" t="s">
        <v>130</v>
      </c>
      <c r="U4" s="1" t="s">
        <v>131</v>
      </c>
      <c r="V4" s="1" t="s">
        <v>121</v>
      </c>
      <c r="W4" s="1" t="s">
        <v>132</v>
      </c>
      <c r="X4" s="1" t="s">
        <v>133</v>
      </c>
    </row>
    <row r="5" spans="1:24" ht="22" x14ac:dyDescent="0.35">
      <c r="A5" s="2">
        <v>0</v>
      </c>
      <c r="B5" s="3" t="s">
        <v>18</v>
      </c>
      <c r="C5" s="5">
        <v>42674.333333333299</v>
      </c>
      <c r="D5" s="5">
        <v>43343.708333333299</v>
      </c>
      <c r="E5" s="2" t="s">
        <v>20</v>
      </c>
      <c r="F5" s="2"/>
      <c r="G5" s="6"/>
      <c r="H5" s="6">
        <v>0</v>
      </c>
      <c r="I5" s="6"/>
      <c r="J5" s="6"/>
      <c r="K5" s="6">
        <v>1512000</v>
      </c>
      <c r="L5" s="2"/>
      <c r="M5" s="2" t="s">
        <v>20</v>
      </c>
      <c r="N5" s="6"/>
      <c r="O5" s="6"/>
      <c r="P5" s="2"/>
      <c r="Q5" s="6"/>
      <c r="R5" s="6"/>
      <c r="S5" s="6">
        <v>1394570</v>
      </c>
      <c r="T5" s="6"/>
      <c r="U5" s="13">
        <v>0.90849867724867694</v>
      </c>
      <c r="V5" s="2"/>
      <c r="W5" s="6">
        <v>1373650</v>
      </c>
      <c r="X5" s="6">
        <v>1512000</v>
      </c>
    </row>
    <row r="6" spans="1:24" x14ac:dyDescent="0.35">
      <c r="A6" s="3">
        <v>1</v>
      </c>
      <c r="B6" s="3" t="s">
        <v>21</v>
      </c>
      <c r="C6" s="9">
        <v>42674.333333333299</v>
      </c>
      <c r="D6" s="9">
        <v>43080.708333333299</v>
      </c>
      <c r="E6" s="12" t="s">
        <v>23</v>
      </c>
      <c r="F6" s="12"/>
      <c r="G6" s="10">
        <v>0</v>
      </c>
      <c r="H6" s="10">
        <v>0</v>
      </c>
      <c r="I6" s="10">
        <v>67.439862542955296</v>
      </c>
      <c r="J6" s="10">
        <v>157000</v>
      </c>
      <c r="K6" s="10">
        <v>157000</v>
      </c>
      <c r="L6" s="8">
        <v>42674</v>
      </c>
      <c r="M6" s="3" t="s">
        <v>173</v>
      </c>
      <c r="N6" s="10">
        <v>146749.14089347099</v>
      </c>
      <c r="O6" s="10">
        <v>0</v>
      </c>
      <c r="P6" s="12" t="s">
        <v>138</v>
      </c>
      <c r="Q6" s="10">
        <v>25350.859106529198</v>
      </c>
      <c r="R6" s="14">
        <v>0</v>
      </c>
      <c r="S6" s="11">
        <v>172100</v>
      </c>
      <c r="T6" s="10">
        <v>0</v>
      </c>
      <c r="U6" s="15">
        <v>1</v>
      </c>
      <c r="V6" s="12" t="s">
        <v>147</v>
      </c>
      <c r="W6" s="10">
        <v>157000</v>
      </c>
      <c r="X6" s="10">
        <v>157000</v>
      </c>
    </row>
    <row r="7" spans="1:24" x14ac:dyDescent="0.35">
      <c r="A7" s="4">
        <v>26</v>
      </c>
      <c r="B7" s="4" t="s">
        <v>24</v>
      </c>
      <c r="C7" s="5">
        <v>42793.333333333299</v>
      </c>
      <c r="D7" s="5">
        <v>42821.708333333299</v>
      </c>
      <c r="E7" s="2" t="s">
        <v>26</v>
      </c>
      <c r="F7" s="2"/>
      <c r="G7" s="6"/>
      <c r="H7" s="6">
        <v>0</v>
      </c>
      <c r="I7" s="6"/>
      <c r="J7" s="6"/>
      <c r="K7" s="6">
        <v>71000</v>
      </c>
      <c r="L7" s="2"/>
      <c r="M7" s="2" t="s">
        <v>146</v>
      </c>
      <c r="N7" s="6"/>
      <c r="O7" s="6"/>
      <c r="P7" s="2"/>
      <c r="Q7" s="6"/>
      <c r="R7" s="6"/>
      <c r="S7" s="6">
        <v>69070</v>
      </c>
      <c r="T7" s="6"/>
      <c r="U7" s="13">
        <v>1</v>
      </c>
      <c r="V7" s="2"/>
      <c r="W7" s="6">
        <v>71000</v>
      </c>
      <c r="X7" s="6">
        <v>71000</v>
      </c>
    </row>
    <row r="8" spans="1:24" ht="22" x14ac:dyDescent="0.35">
      <c r="A8" s="3">
        <v>2</v>
      </c>
      <c r="B8" s="3" t="s">
        <v>27</v>
      </c>
      <c r="C8" s="9">
        <v>42793.333333333299</v>
      </c>
      <c r="D8" s="9">
        <v>42793.708333333299</v>
      </c>
      <c r="E8" s="12" t="s">
        <v>29</v>
      </c>
      <c r="F8" s="12"/>
      <c r="G8" s="10">
        <v>0</v>
      </c>
      <c r="H8" s="10">
        <v>0</v>
      </c>
      <c r="I8" s="10">
        <v>1875</v>
      </c>
      <c r="J8" s="10">
        <v>15000</v>
      </c>
      <c r="K8" s="10">
        <v>15000</v>
      </c>
      <c r="L8" s="8">
        <v>42793</v>
      </c>
      <c r="M8" s="3" t="s">
        <v>146</v>
      </c>
      <c r="N8" s="10">
        <v>570000</v>
      </c>
      <c r="O8" s="10">
        <v>0</v>
      </c>
      <c r="P8" s="12" t="s">
        <v>138</v>
      </c>
      <c r="Q8" s="10">
        <v>-553600</v>
      </c>
      <c r="R8" s="14">
        <v>0</v>
      </c>
      <c r="S8" s="11">
        <v>16400</v>
      </c>
      <c r="T8" s="10">
        <v>0</v>
      </c>
      <c r="U8" s="15">
        <v>1</v>
      </c>
      <c r="V8" s="12" t="s">
        <v>147</v>
      </c>
      <c r="W8" s="10">
        <v>15000</v>
      </c>
      <c r="X8" s="10">
        <v>15000</v>
      </c>
    </row>
    <row r="9" spans="1:24" ht="32.5" x14ac:dyDescent="0.35">
      <c r="A9" s="3">
        <v>3</v>
      </c>
      <c r="B9" s="3" t="s">
        <v>30</v>
      </c>
      <c r="C9" s="9">
        <v>42793.333333333299</v>
      </c>
      <c r="D9" s="9">
        <v>42821.708333333299</v>
      </c>
      <c r="E9" s="12" t="s">
        <v>26</v>
      </c>
      <c r="F9" s="12"/>
      <c r="G9" s="10">
        <v>0</v>
      </c>
      <c r="H9" s="10">
        <v>0</v>
      </c>
      <c r="I9" s="10">
        <v>333.33333333333297</v>
      </c>
      <c r="J9" s="10">
        <v>56000</v>
      </c>
      <c r="K9" s="10">
        <v>56000</v>
      </c>
      <c r="L9" s="8">
        <v>42793</v>
      </c>
      <c r="M9" s="3" t="s">
        <v>146</v>
      </c>
      <c r="N9" s="10">
        <v>101333.33333333299</v>
      </c>
      <c r="O9" s="10">
        <v>0</v>
      </c>
      <c r="P9" s="12" t="s">
        <v>138</v>
      </c>
      <c r="Q9" s="10">
        <v>-48663.333333333299</v>
      </c>
      <c r="R9" s="14">
        <v>0</v>
      </c>
      <c r="S9" s="11">
        <v>52670</v>
      </c>
      <c r="T9" s="10">
        <v>0</v>
      </c>
      <c r="U9" s="15">
        <v>1</v>
      </c>
      <c r="V9" s="12" t="s">
        <v>147</v>
      </c>
      <c r="W9" s="10">
        <v>56000</v>
      </c>
      <c r="X9" s="10">
        <v>56000</v>
      </c>
    </row>
    <row r="10" spans="1:24" x14ac:dyDescent="0.35">
      <c r="A10" s="4">
        <v>27</v>
      </c>
      <c r="B10" s="4" t="s">
        <v>32</v>
      </c>
      <c r="C10" s="5">
        <v>42922.333333333299</v>
      </c>
      <c r="D10" s="5">
        <v>42950.708333333299</v>
      </c>
      <c r="E10" s="2" t="s">
        <v>26</v>
      </c>
      <c r="F10" s="2"/>
      <c r="G10" s="6"/>
      <c r="H10" s="6">
        <v>0</v>
      </c>
      <c r="I10" s="6"/>
      <c r="J10" s="6"/>
      <c r="K10" s="6">
        <v>60000</v>
      </c>
      <c r="L10" s="2"/>
      <c r="M10" s="2" t="s">
        <v>162</v>
      </c>
      <c r="N10" s="6"/>
      <c r="O10" s="6"/>
      <c r="P10" s="2"/>
      <c r="Q10" s="6"/>
      <c r="R10" s="6"/>
      <c r="S10" s="6">
        <v>55350</v>
      </c>
      <c r="T10" s="6"/>
      <c r="U10" s="13">
        <v>1</v>
      </c>
      <c r="V10" s="2"/>
      <c r="W10" s="6">
        <v>60000</v>
      </c>
      <c r="X10" s="6">
        <v>60000</v>
      </c>
    </row>
    <row r="11" spans="1:24" ht="22" x14ac:dyDescent="0.35">
      <c r="A11" s="3">
        <v>4</v>
      </c>
      <c r="B11" s="3" t="s">
        <v>34</v>
      </c>
      <c r="C11" s="9">
        <v>42922.333333333299</v>
      </c>
      <c r="D11" s="9">
        <v>42922.708333333299</v>
      </c>
      <c r="E11" s="12" t="s">
        <v>29</v>
      </c>
      <c r="F11" s="12"/>
      <c r="G11" s="10">
        <v>0</v>
      </c>
      <c r="H11" s="10">
        <v>0</v>
      </c>
      <c r="I11" s="10">
        <v>1875</v>
      </c>
      <c r="J11" s="10">
        <v>15000</v>
      </c>
      <c r="K11" s="10">
        <v>15000</v>
      </c>
      <c r="L11" s="8">
        <v>42922</v>
      </c>
      <c r="M11" s="3" t="s">
        <v>154</v>
      </c>
      <c r="N11" s="10">
        <v>330000</v>
      </c>
      <c r="O11" s="10">
        <v>0</v>
      </c>
      <c r="P11" s="12" t="s">
        <v>138</v>
      </c>
      <c r="Q11" s="10">
        <v>-315650</v>
      </c>
      <c r="R11" s="14">
        <v>0</v>
      </c>
      <c r="S11" s="11">
        <v>14350</v>
      </c>
      <c r="T11" s="10">
        <v>0</v>
      </c>
      <c r="U11" s="15">
        <v>1</v>
      </c>
      <c r="V11" s="12" t="s">
        <v>147</v>
      </c>
      <c r="W11" s="10">
        <v>15000</v>
      </c>
      <c r="X11" s="10">
        <v>15000</v>
      </c>
    </row>
    <row r="12" spans="1:24" ht="32.5" x14ac:dyDescent="0.35">
      <c r="A12" s="3">
        <v>5</v>
      </c>
      <c r="B12" s="3" t="s">
        <v>36</v>
      </c>
      <c r="C12" s="9">
        <v>42922.333333333299</v>
      </c>
      <c r="D12" s="9">
        <v>42950.708333333299</v>
      </c>
      <c r="E12" s="12" t="s">
        <v>26</v>
      </c>
      <c r="F12" s="12"/>
      <c r="G12" s="10">
        <v>0</v>
      </c>
      <c r="H12" s="10">
        <v>0</v>
      </c>
      <c r="I12" s="10">
        <v>267.857142857143</v>
      </c>
      <c r="J12" s="10">
        <v>45000</v>
      </c>
      <c r="K12" s="10">
        <v>45000</v>
      </c>
      <c r="L12" s="8">
        <v>42922</v>
      </c>
      <c r="M12" s="3" t="s">
        <v>162</v>
      </c>
      <c r="N12" s="10">
        <v>120000</v>
      </c>
      <c r="O12" s="10">
        <v>0</v>
      </c>
      <c r="P12" s="12" t="s">
        <v>138</v>
      </c>
      <c r="Q12" s="10">
        <v>-79000</v>
      </c>
      <c r="R12" s="14">
        <v>0</v>
      </c>
      <c r="S12" s="11">
        <v>41000</v>
      </c>
      <c r="T12" s="10">
        <v>0</v>
      </c>
      <c r="U12" s="15">
        <v>1</v>
      </c>
      <c r="V12" s="12" t="s">
        <v>147</v>
      </c>
      <c r="W12" s="10">
        <v>45000</v>
      </c>
      <c r="X12" s="10">
        <v>45000</v>
      </c>
    </row>
    <row r="13" spans="1:24" ht="22" x14ac:dyDescent="0.35">
      <c r="A13" s="3">
        <v>6</v>
      </c>
      <c r="B13" s="3" t="s">
        <v>38</v>
      </c>
      <c r="C13" s="9">
        <v>42821.333333333299</v>
      </c>
      <c r="D13" s="9">
        <v>43031.708333333299</v>
      </c>
      <c r="E13" s="12" t="s">
        <v>40</v>
      </c>
      <c r="F13" s="12"/>
      <c r="G13" s="10">
        <v>0</v>
      </c>
      <c r="H13" s="10">
        <v>0</v>
      </c>
      <c r="I13" s="10">
        <v>48.013245033112597</v>
      </c>
      <c r="J13" s="10">
        <v>58000</v>
      </c>
      <c r="K13" s="10">
        <v>58000</v>
      </c>
      <c r="L13" s="8">
        <v>42821</v>
      </c>
      <c r="M13" s="3" t="s">
        <v>163</v>
      </c>
      <c r="N13" s="10">
        <v>49549.668874172203</v>
      </c>
      <c r="O13" s="10">
        <v>0</v>
      </c>
      <c r="P13" s="12" t="s">
        <v>138</v>
      </c>
      <c r="Q13" s="10">
        <v>2450.33112582781</v>
      </c>
      <c r="R13" s="14">
        <v>0</v>
      </c>
      <c r="S13" s="11">
        <v>52000</v>
      </c>
      <c r="T13" s="10">
        <v>0</v>
      </c>
      <c r="U13" s="15">
        <v>1</v>
      </c>
      <c r="V13" s="12" t="s">
        <v>147</v>
      </c>
      <c r="W13" s="10">
        <v>58000</v>
      </c>
      <c r="X13" s="10">
        <v>58000</v>
      </c>
    </row>
    <row r="14" spans="1:24" ht="22" x14ac:dyDescent="0.35">
      <c r="A14" s="3">
        <v>7</v>
      </c>
      <c r="B14" s="3" t="s">
        <v>41</v>
      </c>
      <c r="C14" s="9">
        <v>42821.333333333299</v>
      </c>
      <c r="D14" s="9">
        <v>43038.708333333299</v>
      </c>
      <c r="E14" s="12" t="s">
        <v>43</v>
      </c>
      <c r="F14" s="12"/>
      <c r="G14" s="10">
        <v>0</v>
      </c>
      <c r="H14" s="10">
        <v>0</v>
      </c>
      <c r="I14" s="10">
        <v>17.628205128205099</v>
      </c>
      <c r="J14" s="10">
        <v>22000</v>
      </c>
      <c r="K14" s="10">
        <v>22000</v>
      </c>
      <c r="L14" s="8">
        <v>42821</v>
      </c>
      <c r="M14" s="3" t="s">
        <v>163</v>
      </c>
      <c r="N14" s="10">
        <v>18192.307692307699</v>
      </c>
      <c r="O14" s="10">
        <v>0</v>
      </c>
      <c r="P14" s="12" t="s">
        <v>138</v>
      </c>
      <c r="Q14" s="10">
        <v>5307.6923076923104</v>
      </c>
      <c r="R14" s="14">
        <v>0</v>
      </c>
      <c r="S14" s="11">
        <v>23500</v>
      </c>
      <c r="T14" s="10">
        <v>0</v>
      </c>
      <c r="U14" s="15">
        <v>1</v>
      </c>
      <c r="V14" s="12" t="s">
        <v>147</v>
      </c>
      <c r="W14" s="10">
        <v>22000</v>
      </c>
      <c r="X14" s="10">
        <v>22000</v>
      </c>
    </row>
    <row r="15" spans="1:24" ht="22" x14ac:dyDescent="0.35">
      <c r="A15" s="3">
        <v>8</v>
      </c>
      <c r="B15" s="3" t="s">
        <v>44</v>
      </c>
      <c r="C15" s="9">
        <v>42950.333333333299</v>
      </c>
      <c r="D15" s="9">
        <v>43112.708333333299</v>
      </c>
      <c r="E15" s="12" t="s">
        <v>46</v>
      </c>
      <c r="F15" s="12"/>
      <c r="G15" s="10">
        <v>0</v>
      </c>
      <c r="H15" s="10">
        <v>0</v>
      </c>
      <c r="I15" s="10">
        <v>58.760683760683797</v>
      </c>
      <c r="J15" s="10">
        <v>55000</v>
      </c>
      <c r="K15" s="10">
        <v>55000</v>
      </c>
      <c r="L15" s="8">
        <v>42951</v>
      </c>
      <c r="M15" s="3" t="s">
        <v>193</v>
      </c>
      <c r="N15" s="10">
        <v>67222.222222222204</v>
      </c>
      <c r="O15" s="10">
        <v>0</v>
      </c>
      <c r="P15" s="12" t="s">
        <v>138</v>
      </c>
      <c r="Q15" s="10">
        <v>-16722.222222222201</v>
      </c>
      <c r="R15" s="14">
        <v>0</v>
      </c>
      <c r="S15" s="11">
        <v>50500</v>
      </c>
      <c r="T15" s="10">
        <v>0</v>
      </c>
      <c r="U15" s="15">
        <v>1</v>
      </c>
      <c r="V15" s="12" t="s">
        <v>147</v>
      </c>
      <c r="W15" s="10">
        <v>55000</v>
      </c>
      <c r="X15" s="10">
        <v>55000</v>
      </c>
    </row>
    <row r="16" spans="1:24" ht="22" x14ac:dyDescent="0.35">
      <c r="A16" s="3">
        <v>9</v>
      </c>
      <c r="B16" s="3" t="s">
        <v>47</v>
      </c>
      <c r="C16" s="9">
        <v>42950.333333333299</v>
      </c>
      <c r="D16" s="9">
        <v>43119.708333333299</v>
      </c>
      <c r="E16" s="12" t="s">
        <v>49</v>
      </c>
      <c r="F16" s="12"/>
      <c r="G16" s="10">
        <v>0</v>
      </c>
      <c r="H16" s="10">
        <v>0</v>
      </c>
      <c r="I16" s="10">
        <v>20.491803278688501</v>
      </c>
      <c r="J16" s="10">
        <v>20000</v>
      </c>
      <c r="K16" s="10">
        <v>20000</v>
      </c>
      <c r="L16" s="8">
        <v>42951</v>
      </c>
      <c r="M16" s="3" t="s">
        <v>208</v>
      </c>
      <c r="N16" s="10">
        <v>31311.475409836101</v>
      </c>
      <c r="O16" s="10">
        <v>0</v>
      </c>
      <c r="P16" s="12" t="s">
        <v>138</v>
      </c>
      <c r="Q16" s="10">
        <v>-10311.475409836101</v>
      </c>
      <c r="R16" s="14">
        <v>0</v>
      </c>
      <c r="S16" s="11">
        <v>21000</v>
      </c>
      <c r="T16" s="10">
        <v>0</v>
      </c>
      <c r="U16" s="15">
        <v>1</v>
      </c>
      <c r="V16" s="12" t="s">
        <v>147</v>
      </c>
      <c r="W16" s="10">
        <v>20000</v>
      </c>
      <c r="X16" s="10">
        <v>20000</v>
      </c>
    </row>
    <row r="17" spans="1:24" ht="22" x14ac:dyDescent="0.35">
      <c r="A17" s="3">
        <v>10</v>
      </c>
      <c r="B17" s="3" t="s">
        <v>50</v>
      </c>
      <c r="C17" s="9">
        <v>42944.333333333299</v>
      </c>
      <c r="D17" s="9">
        <v>43332.708333333299</v>
      </c>
      <c r="E17" s="12" t="s">
        <v>52</v>
      </c>
      <c r="F17" s="12"/>
      <c r="G17" s="10">
        <v>0</v>
      </c>
      <c r="H17" s="10">
        <v>0</v>
      </c>
      <c r="I17" s="10">
        <v>101.534296028881</v>
      </c>
      <c r="J17" s="10">
        <v>225000</v>
      </c>
      <c r="K17" s="10">
        <v>225000</v>
      </c>
      <c r="L17" s="8">
        <v>42951</v>
      </c>
      <c r="M17" s="3" t="s">
        <v>215</v>
      </c>
      <c r="N17" s="10">
        <v>168953.068592058</v>
      </c>
      <c r="O17" s="10">
        <v>0</v>
      </c>
      <c r="P17" s="12" t="s">
        <v>138</v>
      </c>
      <c r="Q17" s="10">
        <v>71046.931407942306</v>
      </c>
      <c r="R17" s="14">
        <v>0</v>
      </c>
      <c r="S17" s="11">
        <v>240000</v>
      </c>
      <c r="T17" s="10">
        <v>0</v>
      </c>
      <c r="U17" s="15">
        <v>1</v>
      </c>
      <c r="V17" s="12" t="s">
        <v>147</v>
      </c>
      <c r="W17" s="10">
        <v>225000</v>
      </c>
      <c r="X17" s="10">
        <v>225000</v>
      </c>
    </row>
    <row r="18" spans="1:24" ht="22" x14ac:dyDescent="0.35">
      <c r="A18" s="3">
        <v>11</v>
      </c>
      <c r="B18" s="3" t="s">
        <v>53</v>
      </c>
      <c r="C18" s="9">
        <v>43031.333333333299</v>
      </c>
      <c r="D18" s="9">
        <v>43168.708333333299</v>
      </c>
      <c r="E18" s="12" t="s">
        <v>55</v>
      </c>
      <c r="F18" s="12"/>
      <c r="G18" s="10">
        <v>0</v>
      </c>
      <c r="H18" s="10">
        <v>0</v>
      </c>
      <c r="I18" s="10">
        <v>10</v>
      </c>
      <c r="J18" s="10">
        <v>8000</v>
      </c>
      <c r="K18" s="10">
        <v>8000</v>
      </c>
      <c r="L18" s="8">
        <v>43031</v>
      </c>
      <c r="M18" s="3" t="s">
        <v>196</v>
      </c>
      <c r="N18" s="10">
        <v>6960</v>
      </c>
      <c r="O18" s="10">
        <v>0</v>
      </c>
      <c r="P18" s="12" t="s">
        <v>138</v>
      </c>
      <c r="Q18" s="10">
        <v>2240</v>
      </c>
      <c r="R18" s="14">
        <v>0</v>
      </c>
      <c r="S18" s="11">
        <v>9200</v>
      </c>
      <c r="T18" s="10">
        <v>0</v>
      </c>
      <c r="U18" s="15">
        <v>1</v>
      </c>
      <c r="V18" s="12" t="s">
        <v>147</v>
      </c>
      <c r="W18" s="10">
        <v>8000</v>
      </c>
      <c r="X18" s="10">
        <v>8000</v>
      </c>
    </row>
    <row r="19" spans="1:24" ht="32.5" x14ac:dyDescent="0.35">
      <c r="A19" s="3">
        <v>12</v>
      </c>
      <c r="B19" s="3" t="s">
        <v>56</v>
      </c>
      <c r="C19" s="9">
        <v>43031.333333333299</v>
      </c>
      <c r="D19" s="9">
        <v>43168.708333333299</v>
      </c>
      <c r="E19" s="12" t="s">
        <v>55</v>
      </c>
      <c r="F19" s="12"/>
      <c r="G19" s="10">
        <v>0</v>
      </c>
      <c r="H19" s="10">
        <v>0</v>
      </c>
      <c r="I19" s="10">
        <v>43.75</v>
      </c>
      <c r="J19" s="10">
        <v>35000</v>
      </c>
      <c r="K19" s="10">
        <v>35000</v>
      </c>
      <c r="L19" s="8">
        <v>43031</v>
      </c>
      <c r="M19" s="3" t="s">
        <v>196</v>
      </c>
      <c r="N19" s="10">
        <v>30450</v>
      </c>
      <c r="O19" s="10">
        <v>0</v>
      </c>
      <c r="P19" s="12" t="s">
        <v>138</v>
      </c>
      <c r="Q19" s="10">
        <v>-650</v>
      </c>
      <c r="R19" s="14">
        <v>0</v>
      </c>
      <c r="S19" s="11">
        <v>29800</v>
      </c>
      <c r="T19" s="10">
        <v>0</v>
      </c>
      <c r="U19" s="15">
        <v>1</v>
      </c>
      <c r="V19" s="12" t="s">
        <v>147</v>
      </c>
      <c r="W19" s="10">
        <v>35000</v>
      </c>
      <c r="X19" s="10">
        <v>35000</v>
      </c>
    </row>
    <row r="20" spans="1:24" x14ac:dyDescent="0.35">
      <c r="A20" s="3">
        <v>13</v>
      </c>
      <c r="B20" s="3" t="s">
        <v>58</v>
      </c>
      <c r="C20" s="9">
        <v>42968.333333333299</v>
      </c>
      <c r="D20" s="9">
        <v>43182.708333333299</v>
      </c>
      <c r="E20" s="12" t="s">
        <v>60</v>
      </c>
      <c r="F20" s="12"/>
      <c r="G20" s="10">
        <v>0</v>
      </c>
      <c r="H20" s="10">
        <v>0</v>
      </c>
      <c r="I20" s="10">
        <v>278.22580645161298</v>
      </c>
      <c r="J20" s="10">
        <v>345000</v>
      </c>
      <c r="K20" s="10">
        <v>345000</v>
      </c>
      <c r="L20" s="8">
        <v>42968</v>
      </c>
      <c r="M20" s="3" t="s">
        <v>149</v>
      </c>
      <c r="N20" s="10">
        <v>293806.45161290298</v>
      </c>
      <c r="O20" s="10">
        <v>0</v>
      </c>
      <c r="P20" s="12" t="s">
        <v>138</v>
      </c>
      <c r="Q20" s="10">
        <v>38193.5483870967</v>
      </c>
      <c r="R20" s="14">
        <v>0</v>
      </c>
      <c r="S20" s="11">
        <v>332000</v>
      </c>
      <c r="T20" s="10">
        <v>0</v>
      </c>
      <c r="U20" s="15">
        <v>1</v>
      </c>
      <c r="V20" s="12" t="s">
        <v>147</v>
      </c>
      <c r="W20" s="10">
        <v>345000</v>
      </c>
      <c r="X20" s="10">
        <v>345000</v>
      </c>
    </row>
    <row r="21" spans="1:24" ht="22" x14ac:dyDescent="0.35">
      <c r="A21" s="3">
        <v>14</v>
      </c>
      <c r="B21" s="3" t="s">
        <v>61</v>
      </c>
      <c r="C21" s="9">
        <v>42968.333333333299</v>
      </c>
      <c r="D21" s="9">
        <v>43179.708333333299</v>
      </c>
      <c r="E21" s="12" t="s">
        <v>63</v>
      </c>
      <c r="F21" s="12"/>
      <c r="G21" s="10">
        <v>0</v>
      </c>
      <c r="H21" s="10">
        <v>0</v>
      </c>
      <c r="I21" s="10">
        <v>37.006578947368403</v>
      </c>
      <c r="J21" s="10">
        <v>45000</v>
      </c>
      <c r="K21" s="10">
        <v>45000</v>
      </c>
      <c r="L21" s="8">
        <v>42968</v>
      </c>
      <c r="M21" s="3" t="s">
        <v>149</v>
      </c>
      <c r="N21" s="10">
        <v>39078.947368421002</v>
      </c>
      <c r="O21" s="10">
        <v>0</v>
      </c>
      <c r="P21" s="12" t="s">
        <v>138</v>
      </c>
      <c r="Q21" s="10">
        <v>16621.052631579001</v>
      </c>
      <c r="R21" s="14">
        <v>0</v>
      </c>
      <c r="S21" s="11">
        <v>55700</v>
      </c>
      <c r="T21" s="10">
        <v>0</v>
      </c>
      <c r="U21" s="15">
        <v>1</v>
      </c>
      <c r="V21" s="12" t="s">
        <v>147</v>
      </c>
      <c r="W21" s="10">
        <v>45000</v>
      </c>
      <c r="X21" s="10">
        <v>45000</v>
      </c>
    </row>
    <row r="22" spans="1:24" ht="22" x14ac:dyDescent="0.35">
      <c r="A22" s="3">
        <v>15</v>
      </c>
      <c r="B22" s="3" t="s">
        <v>64</v>
      </c>
      <c r="C22" s="9">
        <v>43003.333333333299</v>
      </c>
      <c r="D22" s="9">
        <v>43179.708333333299</v>
      </c>
      <c r="E22" s="12" t="s">
        <v>66</v>
      </c>
      <c r="F22" s="12"/>
      <c r="G22" s="10">
        <v>0</v>
      </c>
      <c r="H22" s="10">
        <v>0</v>
      </c>
      <c r="I22" s="10">
        <v>8.8582677165354298</v>
      </c>
      <c r="J22" s="10">
        <v>9000</v>
      </c>
      <c r="K22" s="10">
        <v>9000</v>
      </c>
      <c r="L22" s="8">
        <v>42951</v>
      </c>
      <c r="M22" s="3" t="s">
        <v>193</v>
      </c>
      <c r="N22" s="10">
        <v>10133.8582677165</v>
      </c>
      <c r="O22" s="10">
        <v>0</v>
      </c>
      <c r="P22" s="12" t="s">
        <v>138</v>
      </c>
      <c r="Q22" s="10">
        <v>-1133.85826771654</v>
      </c>
      <c r="R22" s="14">
        <v>0</v>
      </c>
      <c r="S22" s="11">
        <v>9000</v>
      </c>
      <c r="T22" s="10">
        <v>0</v>
      </c>
      <c r="U22" s="15">
        <v>1</v>
      </c>
      <c r="V22" s="12" t="s">
        <v>147</v>
      </c>
      <c r="W22" s="10">
        <v>9000</v>
      </c>
      <c r="X22" s="10">
        <v>9000</v>
      </c>
    </row>
    <row r="23" spans="1:24" x14ac:dyDescent="0.35">
      <c r="A23" s="3">
        <v>16</v>
      </c>
      <c r="B23" s="3" t="s">
        <v>67</v>
      </c>
      <c r="C23" s="9">
        <v>43003.333333333299</v>
      </c>
      <c r="D23" s="9">
        <v>43297.708333333299</v>
      </c>
      <c r="E23" s="12" t="s">
        <v>69</v>
      </c>
      <c r="F23" s="12"/>
      <c r="G23" s="10">
        <v>0</v>
      </c>
      <c r="H23" s="10">
        <v>0</v>
      </c>
      <c r="I23" s="10">
        <v>52.725118483412302</v>
      </c>
      <c r="J23" s="10">
        <v>89000</v>
      </c>
      <c r="K23" s="10">
        <v>89000</v>
      </c>
      <c r="L23" s="8">
        <v>43003</v>
      </c>
      <c r="M23" s="3" t="s">
        <v>220</v>
      </c>
      <c r="N23" s="10">
        <v>103341.232227488</v>
      </c>
      <c r="O23" s="10">
        <v>18242.890995260699</v>
      </c>
      <c r="P23" s="12" t="s">
        <v>221</v>
      </c>
      <c r="Q23" s="10">
        <v>-14941.232227488201</v>
      </c>
      <c r="R23" s="14">
        <v>0</v>
      </c>
      <c r="S23" s="11">
        <v>88400</v>
      </c>
      <c r="T23" s="10">
        <v>18242.890995260699</v>
      </c>
      <c r="U23" s="15">
        <v>0.85</v>
      </c>
      <c r="V23" s="12" t="s">
        <v>137</v>
      </c>
      <c r="W23" s="10">
        <v>75650</v>
      </c>
      <c r="X23" s="10">
        <v>89000</v>
      </c>
    </row>
    <row r="24" spans="1:24" ht="22" x14ac:dyDescent="0.35">
      <c r="A24" s="3">
        <v>17</v>
      </c>
      <c r="B24" s="3" t="s">
        <v>70</v>
      </c>
      <c r="C24" s="9">
        <v>43003.333333333299</v>
      </c>
      <c r="D24" s="9">
        <v>43147.708333333299</v>
      </c>
      <c r="E24" s="12" t="s">
        <v>72</v>
      </c>
      <c r="F24" s="12"/>
      <c r="G24" s="10">
        <v>0</v>
      </c>
      <c r="H24" s="10">
        <v>0</v>
      </c>
      <c r="I24" s="10">
        <v>59.523809523809497</v>
      </c>
      <c r="J24" s="10">
        <v>50000</v>
      </c>
      <c r="K24" s="10">
        <v>50000</v>
      </c>
      <c r="L24" s="8">
        <v>43003</v>
      </c>
      <c r="M24" s="3" t="s">
        <v>60</v>
      </c>
      <c r="N24" s="10">
        <v>73809.523809523802</v>
      </c>
      <c r="O24" s="10">
        <v>0</v>
      </c>
      <c r="P24" s="12" t="s">
        <v>138</v>
      </c>
      <c r="Q24" s="10">
        <v>-31359.523809523798</v>
      </c>
      <c r="R24" s="14">
        <v>0</v>
      </c>
      <c r="S24" s="11">
        <v>42450</v>
      </c>
      <c r="T24" s="10">
        <v>0</v>
      </c>
      <c r="U24" s="15">
        <v>1</v>
      </c>
      <c r="V24" s="12" t="s">
        <v>147</v>
      </c>
      <c r="W24" s="10">
        <v>50000</v>
      </c>
      <c r="X24" s="10">
        <v>50000</v>
      </c>
    </row>
    <row r="25" spans="1:24" ht="22" x14ac:dyDescent="0.35">
      <c r="A25" s="3">
        <v>18</v>
      </c>
      <c r="B25" s="3" t="s">
        <v>73</v>
      </c>
      <c r="C25" s="9">
        <v>43003.333333333299</v>
      </c>
      <c r="D25" s="9">
        <v>43147.708333333299</v>
      </c>
      <c r="E25" s="12" t="s">
        <v>72</v>
      </c>
      <c r="F25" s="12"/>
      <c r="G25" s="10">
        <v>0</v>
      </c>
      <c r="H25" s="10">
        <v>0</v>
      </c>
      <c r="I25" s="10">
        <v>35.714285714285701</v>
      </c>
      <c r="J25" s="10">
        <v>30000</v>
      </c>
      <c r="K25" s="10">
        <v>30000</v>
      </c>
      <c r="L25" s="8">
        <v>43003</v>
      </c>
      <c r="M25" s="3" t="s">
        <v>60</v>
      </c>
      <c r="N25" s="10">
        <v>44285.714285714297</v>
      </c>
      <c r="O25" s="10">
        <v>0</v>
      </c>
      <c r="P25" s="12" t="s">
        <v>138</v>
      </c>
      <c r="Q25" s="10">
        <v>-28285.714285714301</v>
      </c>
      <c r="R25" s="14">
        <v>0</v>
      </c>
      <c r="S25" s="11">
        <v>16000</v>
      </c>
      <c r="T25" s="10">
        <v>0</v>
      </c>
      <c r="U25" s="15">
        <v>1</v>
      </c>
      <c r="V25" s="12" t="s">
        <v>147</v>
      </c>
      <c r="W25" s="10">
        <v>30000</v>
      </c>
      <c r="X25" s="10">
        <v>30000</v>
      </c>
    </row>
    <row r="26" spans="1:24" ht="22" x14ac:dyDescent="0.35">
      <c r="A26" s="3">
        <v>19</v>
      </c>
      <c r="B26" s="3" t="s">
        <v>75</v>
      </c>
      <c r="C26" s="9">
        <v>43059.333333333299</v>
      </c>
      <c r="D26" s="9">
        <v>43238.708333333299</v>
      </c>
      <c r="E26" s="12" t="s">
        <v>77</v>
      </c>
      <c r="F26" s="12"/>
      <c r="G26" s="10">
        <v>0</v>
      </c>
      <c r="H26" s="10">
        <v>0</v>
      </c>
      <c r="I26" s="10">
        <v>38.461538461538503</v>
      </c>
      <c r="J26" s="10">
        <v>40000</v>
      </c>
      <c r="K26" s="10">
        <v>40000</v>
      </c>
      <c r="L26" s="8">
        <v>42999</v>
      </c>
      <c r="M26" s="3" t="s">
        <v>222</v>
      </c>
      <c r="N26" s="10">
        <v>76000</v>
      </c>
      <c r="O26" s="10">
        <v>0</v>
      </c>
      <c r="P26" s="12" t="s">
        <v>138</v>
      </c>
      <c r="Q26" s="10">
        <v>-24000</v>
      </c>
      <c r="R26" s="14">
        <v>0</v>
      </c>
      <c r="S26" s="11">
        <v>52000</v>
      </c>
      <c r="T26" s="10">
        <v>0</v>
      </c>
      <c r="U26" s="15">
        <v>1</v>
      </c>
      <c r="V26" s="12" t="s">
        <v>147</v>
      </c>
      <c r="W26" s="10">
        <v>40000</v>
      </c>
      <c r="X26" s="10">
        <v>40000</v>
      </c>
    </row>
    <row r="27" spans="1:24" x14ac:dyDescent="0.35">
      <c r="A27" s="3">
        <v>20</v>
      </c>
      <c r="B27" s="3" t="s">
        <v>78</v>
      </c>
      <c r="C27" s="9">
        <v>43045.333333333299</v>
      </c>
      <c r="D27" s="9">
        <v>43070.708333333299</v>
      </c>
      <c r="E27" s="12" t="s">
        <v>80</v>
      </c>
      <c r="F27" s="12"/>
      <c r="G27" s="10">
        <v>0</v>
      </c>
      <c r="H27" s="10">
        <v>0</v>
      </c>
      <c r="I27" s="10">
        <v>156.25</v>
      </c>
      <c r="J27" s="10">
        <v>25000</v>
      </c>
      <c r="K27" s="10">
        <v>25000</v>
      </c>
      <c r="L27" s="8">
        <v>43045</v>
      </c>
      <c r="M27" s="3" t="s">
        <v>211</v>
      </c>
      <c r="N27" s="10">
        <v>156250</v>
      </c>
      <c r="O27" s="10">
        <v>0</v>
      </c>
      <c r="P27" s="12" t="s">
        <v>138</v>
      </c>
      <c r="Q27" s="10">
        <v>-128250</v>
      </c>
      <c r="R27" s="14">
        <v>0</v>
      </c>
      <c r="S27" s="11">
        <v>28000</v>
      </c>
      <c r="T27" s="10">
        <v>0</v>
      </c>
      <c r="U27" s="15">
        <v>1</v>
      </c>
      <c r="V27" s="12" t="s">
        <v>147</v>
      </c>
      <c r="W27" s="10">
        <v>25000</v>
      </c>
      <c r="X27" s="10">
        <v>25000</v>
      </c>
    </row>
    <row r="28" spans="1:24" x14ac:dyDescent="0.35">
      <c r="A28" s="3">
        <v>21</v>
      </c>
      <c r="B28" s="3" t="s">
        <v>81</v>
      </c>
      <c r="C28" s="9">
        <v>43119.333333333299</v>
      </c>
      <c r="D28" s="9">
        <v>43207.708333333299</v>
      </c>
      <c r="E28" s="12" t="s">
        <v>83</v>
      </c>
      <c r="F28" s="12"/>
      <c r="G28" s="10">
        <v>0</v>
      </c>
      <c r="H28" s="10">
        <v>0</v>
      </c>
      <c r="I28" s="10">
        <v>49.603174603174601</v>
      </c>
      <c r="J28" s="10">
        <v>25000</v>
      </c>
      <c r="K28" s="10">
        <v>25000</v>
      </c>
      <c r="L28" s="8">
        <v>43151</v>
      </c>
      <c r="M28" s="3" t="s">
        <v>212</v>
      </c>
      <c r="N28" s="10">
        <v>19444.444444444402</v>
      </c>
      <c r="O28" s="10">
        <v>0</v>
      </c>
      <c r="P28" s="12" t="s">
        <v>138</v>
      </c>
      <c r="Q28" s="10">
        <v>13355.5555555556</v>
      </c>
      <c r="R28" s="14">
        <v>0</v>
      </c>
      <c r="S28" s="11">
        <v>32800</v>
      </c>
      <c r="T28" s="10">
        <v>0</v>
      </c>
      <c r="U28" s="15">
        <v>1</v>
      </c>
      <c r="V28" s="12" t="s">
        <v>147</v>
      </c>
      <c r="W28" s="10">
        <v>25000</v>
      </c>
      <c r="X28" s="10">
        <v>25000</v>
      </c>
    </row>
    <row r="29" spans="1:24" ht="22" x14ac:dyDescent="0.35">
      <c r="A29" s="3">
        <v>22</v>
      </c>
      <c r="B29" s="3" t="s">
        <v>84</v>
      </c>
      <c r="C29" s="9">
        <v>43070.333333333299</v>
      </c>
      <c r="D29" s="9">
        <v>43098.708333333299</v>
      </c>
      <c r="E29" s="12" t="s">
        <v>26</v>
      </c>
      <c r="F29" s="12"/>
      <c r="G29" s="10">
        <v>0</v>
      </c>
      <c r="H29" s="10">
        <v>0</v>
      </c>
      <c r="I29" s="10">
        <v>107.142857142857</v>
      </c>
      <c r="J29" s="10">
        <v>18000</v>
      </c>
      <c r="K29" s="10">
        <v>18000</v>
      </c>
      <c r="L29" s="8">
        <v>43053</v>
      </c>
      <c r="M29" s="3" t="s">
        <v>205</v>
      </c>
      <c r="N29" s="10">
        <v>60857.142857142899</v>
      </c>
      <c r="O29" s="10">
        <v>0</v>
      </c>
      <c r="P29" s="12" t="s">
        <v>138</v>
      </c>
      <c r="Q29" s="10">
        <v>-45157.142857142899</v>
      </c>
      <c r="R29" s="14">
        <v>0</v>
      </c>
      <c r="S29" s="11">
        <v>15700</v>
      </c>
      <c r="T29" s="10">
        <v>0</v>
      </c>
      <c r="U29" s="15">
        <v>1</v>
      </c>
      <c r="V29" s="12" t="s">
        <v>147</v>
      </c>
      <c r="W29" s="10">
        <v>18000</v>
      </c>
      <c r="X29" s="10">
        <v>18000</v>
      </c>
    </row>
    <row r="30" spans="1:24" ht="22" x14ac:dyDescent="0.35">
      <c r="A30" s="3">
        <v>23</v>
      </c>
      <c r="B30" s="3" t="s">
        <v>86</v>
      </c>
      <c r="C30" s="9">
        <v>43332.333333333299</v>
      </c>
      <c r="D30" s="9">
        <v>43343.708333333299</v>
      </c>
      <c r="E30" s="12" t="s">
        <v>88</v>
      </c>
      <c r="F30" s="12"/>
      <c r="G30" s="10">
        <v>0</v>
      </c>
      <c r="H30" s="10">
        <v>0</v>
      </c>
      <c r="I30" s="10">
        <v>1562.5</v>
      </c>
      <c r="J30" s="10">
        <v>125000</v>
      </c>
      <c r="K30" s="10">
        <v>125000</v>
      </c>
      <c r="L30" s="3"/>
      <c r="M30" s="3" t="s">
        <v>138</v>
      </c>
      <c r="N30" s="10">
        <v>0</v>
      </c>
      <c r="O30" s="10">
        <v>125000</v>
      </c>
      <c r="P30" s="12" t="s">
        <v>88</v>
      </c>
      <c r="Q30" s="10">
        <v>0</v>
      </c>
      <c r="R30" s="14">
        <v>0</v>
      </c>
      <c r="S30" s="11">
        <v>0</v>
      </c>
      <c r="T30" s="10">
        <v>125000</v>
      </c>
      <c r="U30" s="15">
        <v>0</v>
      </c>
      <c r="V30" s="12" t="s">
        <v>139</v>
      </c>
      <c r="W30" s="10">
        <v>0</v>
      </c>
      <c r="X30" s="10">
        <v>125000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30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119</v>
      </c>
      <c r="C1" s="8">
        <v>43374.708333333299</v>
      </c>
      <c r="E1" s="1" t="s">
        <v>120</v>
      </c>
      <c r="F1" s="4" t="s">
        <v>223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121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122</v>
      </c>
      <c r="M4" s="1" t="s">
        <v>123</v>
      </c>
      <c r="N4" s="1" t="s">
        <v>124</v>
      </c>
      <c r="O4" s="1" t="s">
        <v>125</v>
      </c>
      <c r="P4" s="1" t="s">
        <v>126</v>
      </c>
      <c r="Q4" s="1" t="s">
        <v>127</v>
      </c>
      <c r="R4" s="1" t="s">
        <v>128</v>
      </c>
      <c r="S4" s="1" t="s">
        <v>129</v>
      </c>
      <c r="T4" s="1" t="s">
        <v>130</v>
      </c>
      <c r="U4" s="1" t="s">
        <v>131</v>
      </c>
      <c r="V4" s="1" t="s">
        <v>121</v>
      </c>
      <c r="W4" s="1" t="s">
        <v>132</v>
      </c>
      <c r="X4" s="1" t="s">
        <v>133</v>
      </c>
    </row>
    <row r="5" spans="1:24" ht="22" x14ac:dyDescent="0.35">
      <c r="A5" s="2">
        <v>0</v>
      </c>
      <c r="B5" s="3" t="s">
        <v>18</v>
      </c>
      <c r="C5" s="5">
        <v>42674.333333333299</v>
      </c>
      <c r="D5" s="5">
        <v>43343.708333333299</v>
      </c>
      <c r="E5" s="2" t="s">
        <v>20</v>
      </c>
      <c r="F5" s="2"/>
      <c r="G5" s="6"/>
      <c r="H5" s="6">
        <v>0</v>
      </c>
      <c r="I5" s="6"/>
      <c r="J5" s="6"/>
      <c r="K5" s="6">
        <v>1512000</v>
      </c>
      <c r="L5" s="2"/>
      <c r="M5" s="2" t="s">
        <v>224</v>
      </c>
      <c r="N5" s="6"/>
      <c r="O5" s="6"/>
      <c r="P5" s="2"/>
      <c r="Q5" s="6"/>
      <c r="R5" s="6"/>
      <c r="S5" s="6">
        <v>1534060</v>
      </c>
      <c r="T5" s="6"/>
      <c r="U5" s="13">
        <v>1</v>
      </c>
      <c r="V5" s="2"/>
      <c r="W5" s="6">
        <v>1512000</v>
      </c>
      <c r="X5" s="6">
        <v>1512000</v>
      </c>
    </row>
    <row r="6" spans="1:24" x14ac:dyDescent="0.35">
      <c r="A6" s="3">
        <v>1</v>
      </c>
      <c r="B6" s="3" t="s">
        <v>21</v>
      </c>
      <c r="C6" s="9">
        <v>42674.333333333299</v>
      </c>
      <c r="D6" s="9">
        <v>43080.708333333299</v>
      </c>
      <c r="E6" s="12" t="s">
        <v>23</v>
      </c>
      <c r="F6" s="12"/>
      <c r="G6" s="10">
        <v>0</v>
      </c>
      <c r="H6" s="10">
        <v>0</v>
      </c>
      <c r="I6" s="10">
        <v>67.439862542955296</v>
      </c>
      <c r="J6" s="10">
        <v>157000</v>
      </c>
      <c r="K6" s="10">
        <v>157000</v>
      </c>
      <c r="L6" s="8">
        <v>42674</v>
      </c>
      <c r="M6" s="3" t="s">
        <v>173</v>
      </c>
      <c r="N6" s="10">
        <v>146749.14089347099</v>
      </c>
      <c r="O6" s="10">
        <v>0</v>
      </c>
      <c r="P6" s="12" t="s">
        <v>138</v>
      </c>
      <c r="Q6" s="10">
        <v>25350.859106529198</v>
      </c>
      <c r="R6" s="14">
        <v>0</v>
      </c>
      <c r="S6" s="11">
        <v>172100</v>
      </c>
      <c r="T6" s="10">
        <v>0</v>
      </c>
      <c r="U6" s="15">
        <v>1</v>
      </c>
      <c r="V6" s="12" t="s">
        <v>147</v>
      </c>
      <c r="W6" s="10">
        <v>157000</v>
      </c>
      <c r="X6" s="10">
        <v>157000</v>
      </c>
    </row>
    <row r="7" spans="1:24" x14ac:dyDescent="0.35">
      <c r="A7" s="4">
        <v>26</v>
      </c>
      <c r="B7" s="4" t="s">
        <v>24</v>
      </c>
      <c r="C7" s="5">
        <v>42793.333333333299</v>
      </c>
      <c r="D7" s="5">
        <v>42821.708333333299</v>
      </c>
      <c r="E7" s="2" t="s">
        <v>26</v>
      </c>
      <c r="F7" s="2"/>
      <c r="G7" s="6"/>
      <c r="H7" s="6">
        <v>0</v>
      </c>
      <c r="I7" s="6"/>
      <c r="J7" s="6"/>
      <c r="K7" s="6">
        <v>71000</v>
      </c>
      <c r="L7" s="2"/>
      <c r="M7" s="2" t="s">
        <v>146</v>
      </c>
      <c r="N7" s="6"/>
      <c r="O7" s="6"/>
      <c r="P7" s="2"/>
      <c r="Q7" s="6"/>
      <c r="R7" s="6"/>
      <c r="S7" s="6">
        <v>69070</v>
      </c>
      <c r="T7" s="6"/>
      <c r="U7" s="13">
        <v>1</v>
      </c>
      <c r="V7" s="2"/>
      <c r="W7" s="6">
        <v>71000</v>
      </c>
      <c r="X7" s="6">
        <v>71000</v>
      </c>
    </row>
    <row r="8" spans="1:24" ht="22" x14ac:dyDescent="0.35">
      <c r="A8" s="3">
        <v>2</v>
      </c>
      <c r="B8" s="3" t="s">
        <v>27</v>
      </c>
      <c r="C8" s="9">
        <v>42793.333333333299</v>
      </c>
      <c r="D8" s="9">
        <v>42793.708333333299</v>
      </c>
      <c r="E8" s="12" t="s">
        <v>29</v>
      </c>
      <c r="F8" s="12"/>
      <c r="G8" s="10">
        <v>0</v>
      </c>
      <c r="H8" s="10">
        <v>0</v>
      </c>
      <c r="I8" s="10">
        <v>1875</v>
      </c>
      <c r="J8" s="10">
        <v>15000</v>
      </c>
      <c r="K8" s="10">
        <v>15000</v>
      </c>
      <c r="L8" s="8">
        <v>42793</v>
      </c>
      <c r="M8" s="3" t="s">
        <v>146</v>
      </c>
      <c r="N8" s="10">
        <v>570000</v>
      </c>
      <c r="O8" s="10">
        <v>0</v>
      </c>
      <c r="P8" s="12" t="s">
        <v>138</v>
      </c>
      <c r="Q8" s="10">
        <v>-553600</v>
      </c>
      <c r="R8" s="14">
        <v>0</v>
      </c>
      <c r="S8" s="11">
        <v>16400</v>
      </c>
      <c r="T8" s="10">
        <v>0</v>
      </c>
      <c r="U8" s="15">
        <v>1</v>
      </c>
      <c r="V8" s="12" t="s">
        <v>147</v>
      </c>
      <c r="W8" s="10">
        <v>15000</v>
      </c>
      <c r="X8" s="10">
        <v>15000</v>
      </c>
    </row>
    <row r="9" spans="1:24" ht="32.5" x14ac:dyDescent="0.35">
      <c r="A9" s="3">
        <v>3</v>
      </c>
      <c r="B9" s="3" t="s">
        <v>30</v>
      </c>
      <c r="C9" s="9">
        <v>42793.333333333299</v>
      </c>
      <c r="D9" s="9">
        <v>42821.708333333299</v>
      </c>
      <c r="E9" s="12" t="s">
        <v>26</v>
      </c>
      <c r="F9" s="12"/>
      <c r="G9" s="10">
        <v>0</v>
      </c>
      <c r="H9" s="10">
        <v>0</v>
      </c>
      <c r="I9" s="10">
        <v>333.33333333333297</v>
      </c>
      <c r="J9" s="10">
        <v>56000</v>
      </c>
      <c r="K9" s="10">
        <v>56000</v>
      </c>
      <c r="L9" s="8">
        <v>42793</v>
      </c>
      <c r="M9" s="3" t="s">
        <v>146</v>
      </c>
      <c r="N9" s="10">
        <v>101333.33333333299</v>
      </c>
      <c r="O9" s="10">
        <v>0</v>
      </c>
      <c r="P9" s="12" t="s">
        <v>138</v>
      </c>
      <c r="Q9" s="10">
        <v>-48663.333333333299</v>
      </c>
      <c r="R9" s="14">
        <v>0</v>
      </c>
      <c r="S9" s="11">
        <v>52670</v>
      </c>
      <c r="T9" s="10">
        <v>0</v>
      </c>
      <c r="U9" s="15">
        <v>1</v>
      </c>
      <c r="V9" s="12" t="s">
        <v>147</v>
      </c>
      <c r="W9" s="10">
        <v>56000</v>
      </c>
      <c r="X9" s="10">
        <v>56000</v>
      </c>
    </row>
    <row r="10" spans="1:24" x14ac:dyDescent="0.35">
      <c r="A10" s="4">
        <v>27</v>
      </c>
      <c r="B10" s="4" t="s">
        <v>32</v>
      </c>
      <c r="C10" s="5">
        <v>42922.333333333299</v>
      </c>
      <c r="D10" s="5">
        <v>42950.708333333299</v>
      </c>
      <c r="E10" s="2" t="s">
        <v>26</v>
      </c>
      <c r="F10" s="2"/>
      <c r="G10" s="6"/>
      <c r="H10" s="6">
        <v>0</v>
      </c>
      <c r="I10" s="6"/>
      <c r="J10" s="6"/>
      <c r="K10" s="6">
        <v>60000</v>
      </c>
      <c r="L10" s="2"/>
      <c r="M10" s="2" t="s">
        <v>162</v>
      </c>
      <c r="N10" s="6"/>
      <c r="O10" s="6"/>
      <c r="P10" s="2"/>
      <c r="Q10" s="6"/>
      <c r="R10" s="6"/>
      <c r="S10" s="6">
        <v>55350</v>
      </c>
      <c r="T10" s="6"/>
      <c r="U10" s="13">
        <v>1</v>
      </c>
      <c r="V10" s="2"/>
      <c r="W10" s="6">
        <v>60000</v>
      </c>
      <c r="X10" s="6">
        <v>60000</v>
      </c>
    </row>
    <row r="11" spans="1:24" ht="22" x14ac:dyDescent="0.35">
      <c r="A11" s="3">
        <v>4</v>
      </c>
      <c r="B11" s="3" t="s">
        <v>34</v>
      </c>
      <c r="C11" s="9">
        <v>42922.333333333299</v>
      </c>
      <c r="D11" s="9">
        <v>42922.708333333299</v>
      </c>
      <c r="E11" s="12" t="s">
        <v>29</v>
      </c>
      <c r="F11" s="12"/>
      <c r="G11" s="10">
        <v>0</v>
      </c>
      <c r="H11" s="10">
        <v>0</v>
      </c>
      <c r="I11" s="10">
        <v>1875</v>
      </c>
      <c r="J11" s="10">
        <v>15000</v>
      </c>
      <c r="K11" s="10">
        <v>15000</v>
      </c>
      <c r="L11" s="8">
        <v>42922</v>
      </c>
      <c r="M11" s="3" t="s">
        <v>154</v>
      </c>
      <c r="N11" s="10">
        <v>330000</v>
      </c>
      <c r="O11" s="10">
        <v>0</v>
      </c>
      <c r="P11" s="12" t="s">
        <v>138</v>
      </c>
      <c r="Q11" s="10">
        <v>-315650</v>
      </c>
      <c r="R11" s="14">
        <v>0</v>
      </c>
      <c r="S11" s="11">
        <v>14350</v>
      </c>
      <c r="T11" s="10">
        <v>0</v>
      </c>
      <c r="U11" s="15">
        <v>1</v>
      </c>
      <c r="V11" s="12" t="s">
        <v>147</v>
      </c>
      <c r="W11" s="10">
        <v>15000</v>
      </c>
      <c r="X11" s="10">
        <v>15000</v>
      </c>
    </row>
    <row r="12" spans="1:24" ht="32.5" x14ac:dyDescent="0.35">
      <c r="A12" s="3">
        <v>5</v>
      </c>
      <c r="B12" s="3" t="s">
        <v>36</v>
      </c>
      <c r="C12" s="9">
        <v>42922.333333333299</v>
      </c>
      <c r="D12" s="9">
        <v>42950.708333333299</v>
      </c>
      <c r="E12" s="12" t="s">
        <v>26</v>
      </c>
      <c r="F12" s="12"/>
      <c r="G12" s="10">
        <v>0</v>
      </c>
      <c r="H12" s="10">
        <v>0</v>
      </c>
      <c r="I12" s="10">
        <v>267.857142857143</v>
      </c>
      <c r="J12" s="10">
        <v>45000</v>
      </c>
      <c r="K12" s="10">
        <v>45000</v>
      </c>
      <c r="L12" s="8">
        <v>42922</v>
      </c>
      <c r="M12" s="3" t="s">
        <v>162</v>
      </c>
      <c r="N12" s="10">
        <v>120000</v>
      </c>
      <c r="O12" s="10">
        <v>0</v>
      </c>
      <c r="P12" s="12" t="s">
        <v>138</v>
      </c>
      <c r="Q12" s="10">
        <v>-79000</v>
      </c>
      <c r="R12" s="14">
        <v>0</v>
      </c>
      <c r="S12" s="11">
        <v>41000</v>
      </c>
      <c r="T12" s="10">
        <v>0</v>
      </c>
      <c r="U12" s="15">
        <v>1</v>
      </c>
      <c r="V12" s="12" t="s">
        <v>147</v>
      </c>
      <c r="W12" s="10">
        <v>45000</v>
      </c>
      <c r="X12" s="10">
        <v>45000</v>
      </c>
    </row>
    <row r="13" spans="1:24" ht="22" x14ac:dyDescent="0.35">
      <c r="A13" s="3">
        <v>6</v>
      </c>
      <c r="B13" s="3" t="s">
        <v>38</v>
      </c>
      <c r="C13" s="9">
        <v>42821.333333333299</v>
      </c>
      <c r="D13" s="9">
        <v>43031.708333333299</v>
      </c>
      <c r="E13" s="12" t="s">
        <v>40</v>
      </c>
      <c r="F13" s="12"/>
      <c r="G13" s="10">
        <v>0</v>
      </c>
      <c r="H13" s="10">
        <v>0</v>
      </c>
      <c r="I13" s="10">
        <v>48.013245033112597</v>
      </c>
      <c r="J13" s="10">
        <v>58000</v>
      </c>
      <c r="K13" s="10">
        <v>58000</v>
      </c>
      <c r="L13" s="8">
        <v>42821</v>
      </c>
      <c r="M13" s="3" t="s">
        <v>163</v>
      </c>
      <c r="N13" s="10">
        <v>49549.668874172203</v>
      </c>
      <c r="O13" s="10">
        <v>0</v>
      </c>
      <c r="P13" s="12" t="s">
        <v>138</v>
      </c>
      <c r="Q13" s="10">
        <v>2450.33112582781</v>
      </c>
      <c r="R13" s="14">
        <v>0</v>
      </c>
      <c r="S13" s="11">
        <v>52000</v>
      </c>
      <c r="T13" s="10">
        <v>0</v>
      </c>
      <c r="U13" s="15">
        <v>1</v>
      </c>
      <c r="V13" s="12" t="s">
        <v>147</v>
      </c>
      <c r="W13" s="10">
        <v>58000</v>
      </c>
      <c r="X13" s="10">
        <v>58000</v>
      </c>
    </row>
    <row r="14" spans="1:24" ht="22" x14ac:dyDescent="0.35">
      <c r="A14" s="3">
        <v>7</v>
      </c>
      <c r="B14" s="3" t="s">
        <v>41</v>
      </c>
      <c r="C14" s="9">
        <v>42821.333333333299</v>
      </c>
      <c r="D14" s="9">
        <v>43038.708333333299</v>
      </c>
      <c r="E14" s="12" t="s">
        <v>43</v>
      </c>
      <c r="F14" s="12"/>
      <c r="G14" s="10">
        <v>0</v>
      </c>
      <c r="H14" s="10">
        <v>0</v>
      </c>
      <c r="I14" s="10">
        <v>17.628205128205099</v>
      </c>
      <c r="J14" s="10">
        <v>22000</v>
      </c>
      <c r="K14" s="10">
        <v>22000</v>
      </c>
      <c r="L14" s="8">
        <v>42821</v>
      </c>
      <c r="M14" s="3" t="s">
        <v>163</v>
      </c>
      <c r="N14" s="10">
        <v>18192.307692307699</v>
      </c>
      <c r="O14" s="10">
        <v>0</v>
      </c>
      <c r="P14" s="12" t="s">
        <v>138</v>
      </c>
      <c r="Q14" s="10">
        <v>5307.6923076923104</v>
      </c>
      <c r="R14" s="14">
        <v>0</v>
      </c>
      <c r="S14" s="11">
        <v>23500</v>
      </c>
      <c r="T14" s="10">
        <v>0</v>
      </c>
      <c r="U14" s="15">
        <v>1</v>
      </c>
      <c r="V14" s="12" t="s">
        <v>147</v>
      </c>
      <c r="W14" s="10">
        <v>22000</v>
      </c>
      <c r="X14" s="10">
        <v>22000</v>
      </c>
    </row>
    <row r="15" spans="1:24" ht="22" x14ac:dyDescent="0.35">
      <c r="A15" s="3">
        <v>8</v>
      </c>
      <c r="B15" s="3" t="s">
        <v>44</v>
      </c>
      <c r="C15" s="9">
        <v>42950.333333333299</v>
      </c>
      <c r="D15" s="9">
        <v>43112.708333333299</v>
      </c>
      <c r="E15" s="12" t="s">
        <v>46</v>
      </c>
      <c r="F15" s="12"/>
      <c r="G15" s="10">
        <v>0</v>
      </c>
      <c r="H15" s="10">
        <v>0</v>
      </c>
      <c r="I15" s="10">
        <v>58.760683760683797</v>
      </c>
      <c r="J15" s="10">
        <v>55000</v>
      </c>
      <c r="K15" s="10">
        <v>55000</v>
      </c>
      <c r="L15" s="8">
        <v>42951</v>
      </c>
      <c r="M15" s="3" t="s">
        <v>193</v>
      </c>
      <c r="N15" s="10">
        <v>67222.222222222204</v>
      </c>
      <c r="O15" s="10">
        <v>0</v>
      </c>
      <c r="P15" s="12" t="s">
        <v>138</v>
      </c>
      <c r="Q15" s="10">
        <v>-16722.222222222201</v>
      </c>
      <c r="R15" s="14">
        <v>0</v>
      </c>
      <c r="S15" s="11">
        <v>50500</v>
      </c>
      <c r="T15" s="10">
        <v>0</v>
      </c>
      <c r="U15" s="15">
        <v>1</v>
      </c>
      <c r="V15" s="12" t="s">
        <v>147</v>
      </c>
      <c r="W15" s="10">
        <v>55000</v>
      </c>
      <c r="X15" s="10">
        <v>55000</v>
      </c>
    </row>
    <row r="16" spans="1:24" ht="22" x14ac:dyDescent="0.35">
      <c r="A16" s="3">
        <v>9</v>
      </c>
      <c r="B16" s="3" t="s">
        <v>47</v>
      </c>
      <c r="C16" s="9">
        <v>42950.333333333299</v>
      </c>
      <c r="D16" s="9">
        <v>43119.708333333299</v>
      </c>
      <c r="E16" s="12" t="s">
        <v>49</v>
      </c>
      <c r="F16" s="12"/>
      <c r="G16" s="10">
        <v>0</v>
      </c>
      <c r="H16" s="10">
        <v>0</v>
      </c>
      <c r="I16" s="10">
        <v>20.491803278688501</v>
      </c>
      <c r="J16" s="10">
        <v>20000</v>
      </c>
      <c r="K16" s="10">
        <v>20000</v>
      </c>
      <c r="L16" s="8">
        <v>42951</v>
      </c>
      <c r="M16" s="3" t="s">
        <v>208</v>
      </c>
      <c r="N16" s="10">
        <v>31311.475409836101</v>
      </c>
      <c r="O16" s="10">
        <v>0</v>
      </c>
      <c r="P16" s="12" t="s">
        <v>138</v>
      </c>
      <c r="Q16" s="10">
        <v>-10311.475409836101</v>
      </c>
      <c r="R16" s="14">
        <v>0</v>
      </c>
      <c r="S16" s="11">
        <v>21000</v>
      </c>
      <c r="T16" s="10">
        <v>0</v>
      </c>
      <c r="U16" s="15">
        <v>1</v>
      </c>
      <c r="V16" s="12" t="s">
        <v>147</v>
      </c>
      <c r="W16" s="10">
        <v>20000</v>
      </c>
      <c r="X16" s="10">
        <v>20000</v>
      </c>
    </row>
    <row r="17" spans="1:24" ht="22" x14ac:dyDescent="0.35">
      <c r="A17" s="3">
        <v>10</v>
      </c>
      <c r="B17" s="3" t="s">
        <v>50</v>
      </c>
      <c r="C17" s="9">
        <v>42944.333333333299</v>
      </c>
      <c r="D17" s="9">
        <v>43332.708333333299</v>
      </c>
      <c r="E17" s="12" t="s">
        <v>52</v>
      </c>
      <c r="F17" s="12"/>
      <c r="G17" s="10">
        <v>0</v>
      </c>
      <c r="H17" s="10">
        <v>0</v>
      </c>
      <c r="I17" s="10">
        <v>101.534296028881</v>
      </c>
      <c r="J17" s="10">
        <v>225000</v>
      </c>
      <c r="K17" s="10">
        <v>225000</v>
      </c>
      <c r="L17" s="8">
        <v>42951</v>
      </c>
      <c r="M17" s="3" t="s">
        <v>215</v>
      </c>
      <c r="N17" s="10">
        <v>168953.068592058</v>
      </c>
      <c r="O17" s="10">
        <v>0</v>
      </c>
      <c r="P17" s="12" t="s">
        <v>138</v>
      </c>
      <c r="Q17" s="10">
        <v>71046.931407942306</v>
      </c>
      <c r="R17" s="14">
        <v>0</v>
      </c>
      <c r="S17" s="11">
        <v>240000</v>
      </c>
      <c r="T17" s="10">
        <v>0</v>
      </c>
      <c r="U17" s="15">
        <v>1</v>
      </c>
      <c r="V17" s="12" t="s">
        <v>147</v>
      </c>
      <c r="W17" s="10">
        <v>225000</v>
      </c>
      <c r="X17" s="10">
        <v>225000</v>
      </c>
    </row>
    <row r="18" spans="1:24" ht="22" x14ac:dyDescent="0.35">
      <c r="A18" s="3">
        <v>11</v>
      </c>
      <c r="B18" s="3" t="s">
        <v>53</v>
      </c>
      <c r="C18" s="9">
        <v>43031.333333333299</v>
      </c>
      <c r="D18" s="9">
        <v>43168.708333333299</v>
      </c>
      <c r="E18" s="12" t="s">
        <v>55</v>
      </c>
      <c r="F18" s="12"/>
      <c r="G18" s="10">
        <v>0</v>
      </c>
      <c r="H18" s="10">
        <v>0</v>
      </c>
      <c r="I18" s="10">
        <v>10</v>
      </c>
      <c r="J18" s="10">
        <v>8000</v>
      </c>
      <c r="K18" s="10">
        <v>8000</v>
      </c>
      <c r="L18" s="8">
        <v>43031</v>
      </c>
      <c r="M18" s="3" t="s">
        <v>196</v>
      </c>
      <c r="N18" s="10">
        <v>6960</v>
      </c>
      <c r="O18" s="10">
        <v>0</v>
      </c>
      <c r="P18" s="12" t="s">
        <v>138</v>
      </c>
      <c r="Q18" s="10">
        <v>2240</v>
      </c>
      <c r="R18" s="14">
        <v>0</v>
      </c>
      <c r="S18" s="11">
        <v>9200</v>
      </c>
      <c r="T18" s="10">
        <v>0</v>
      </c>
      <c r="U18" s="15">
        <v>1</v>
      </c>
      <c r="V18" s="12" t="s">
        <v>147</v>
      </c>
      <c r="W18" s="10">
        <v>8000</v>
      </c>
      <c r="X18" s="10">
        <v>8000</v>
      </c>
    </row>
    <row r="19" spans="1:24" ht="32.5" x14ac:dyDescent="0.35">
      <c r="A19" s="3">
        <v>12</v>
      </c>
      <c r="B19" s="3" t="s">
        <v>56</v>
      </c>
      <c r="C19" s="9">
        <v>43031.333333333299</v>
      </c>
      <c r="D19" s="9">
        <v>43168.708333333299</v>
      </c>
      <c r="E19" s="12" t="s">
        <v>55</v>
      </c>
      <c r="F19" s="12"/>
      <c r="G19" s="10">
        <v>0</v>
      </c>
      <c r="H19" s="10">
        <v>0</v>
      </c>
      <c r="I19" s="10">
        <v>43.75</v>
      </c>
      <c r="J19" s="10">
        <v>35000</v>
      </c>
      <c r="K19" s="10">
        <v>35000</v>
      </c>
      <c r="L19" s="8">
        <v>43031</v>
      </c>
      <c r="M19" s="3" t="s">
        <v>196</v>
      </c>
      <c r="N19" s="10">
        <v>30450</v>
      </c>
      <c r="O19" s="10">
        <v>0</v>
      </c>
      <c r="P19" s="12" t="s">
        <v>138</v>
      </c>
      <c r="Q19" s="10">
        <v>-650</v>
      </c>
      <c r="R19" s="14">
        <v>0</v>
      </c>
      <c r="S19" s="11">
        <v>29800</v>
      </c>
      <c r="T19" s="10">
        <v>0</v>
      </c>
      <c r="U19" s="15">
        <v>1</v>
      </c>
      <c r="V19" s="12" t="s">
        <v>147</v>
      </c>
      <c r="W19" s="10">
        <v>35000</v>
      </c>
      <c r="X19" s="10">
        <v>35000</v>
      </c>
    </row>
    <row r="20" spans="1:24" x14ac:dyDescent="0.35">
      <c r="A20" s="3">
        <v>13</v>
      </c>
      <c r="B20" s="3" t="s">
        <v>58</v>
      </c>
      <c r="C20" s="9">
        <v>42968.333333333299</v>
      </c>
      <c r="D20" s="9">
        <v>43182.708333333299</v>
      </c>
      <c r="E20" s="12" t="s">
        <v>60</v>
      </c>
      <c r="F20" s="12"/>
      <c r="G20" s="10">
        <v>0</v>
      </c>
      <c r="H20" s="10">
        <v>0</v>
      </c>
      <c r="I20" s="10">
        <v>278.22580645161298</v>
      </c>
      <c r="J20" s="10">
        <v>345000</v>
      </c>
      <c r="K20" s="10">
        <v>345000</v>
      </c>
      <c r="L20" s="8">
        <v>42968</v>
      </c>
      <c r="M20" s="3" t="s">
        <v>149</v>
      </c>
      <c r="N20" s="10">
        <v>293806.45161290298</v>
      </c>
      <c r="O20" s="10">
        <v>0</v>
      </c>
      <c r="P20" s="12" t="s">
        <v>138</v>
      </c>
      <c r="Q20" s="10">
        <v>38193.5483870967</v>
      </c>
      <c r="R20" s="14">
        <v>0</v>
      </c>
      <c r="S20" s="11">
        <v>332000</v>
      </c>
      <c r="T20" s="10">
        <v>0</v>
      </c>
      <c r="U20" s="15">
        <v>1</v>
      </c>
      <c r="V20" s="12" t="s">
        <v>147</v>
      </c>
      <c r="W20" s="10">
        <v>345000</v>
      </c>
      <c r="X20" s="10">
        <v>345000</v>
      </c>
    </row>
    <row r="21" spans="1:24" ht="22" x14ac:dyDescent="0.35">
      <c r="A21" s="3">
        <v>14</v>
      </c>
      <c r="B21" s="3" t="s">
        <v>61</v>
      </c>
      <c r="C21" s="9">
        <v>42968.333333333299</v>
      </c>
      <c r="D21" s="9">
        <v>43179.708333333299</v>
      </c>
      <c r="E21" s="12" t="s">
        <v>63</v>
      </c>
      <c r="F21" s="12"/>
      <c r="G21" s="10">
        <v>0</v>
      </c>
      <c r="H21" s="10">
        <v>0</v>
      </c>
      <c r="I21" s="10">
        <v>37.006578947368403</v>
      </c>
      <c r="J21" s="10">
        <v>45000</v>
      </c>
      <c r="K21" s="10">
        <v>45000</v>
      </c>
      <c r="L21" s="8">
        <v>42968</v>
      </c>
      <c r="M21" s="3" t="s">
        <v>149</v>
      </c>
      <c r="N21" s="10">
        <v>39078.947368421002</v>
      </c>
      <c r="O21" s="10">
        <v>0</v>
      </c>
      <c r="P21" s="12" t="s">
        <v>138</v>
      </c>
      <c r="Q21" s="10">
        <v>16621.052631579001</v>
      </c>
      <c r="R21" s="14">
        <v>0</v>
      </c>
      <c r="S21" s="11">
        <v>55700</v>
      </c>
      <c r="T21" s="10">
        <v>0</v>
      </c>
      <c r="U21" s="15">
        <v>1</v>
      </c>
      <c r="V21" s="12" t="s">
        <v>147</v>
      </c>
      <c r="W21" s="10">
        <v>45000</v>
      </c>
      <c r="X21" s="10">
        <v>45000</v>
      </c>
    </row>
    <row r="22" spans="1:24" ht="22" x14ac:dyDescent="0.35">
      <c r="A22" s="3">
        <v>15</v>
      </c>
      <c r="B22" s="3" t="s">
        <v>64</v>
      </c>
      <c r="C22" s="9">
        <v>43003.333333333299</v>
      </c>
      <c r="D22" s="9">
        <v>43179.708333333299</v>
      </c>
      <c r="E22" s="12" t="s">
        <v>66</v>
      </c>
      <c r="F22" s="12"/>
      <c r="G22" s="10">
        <v>0</v>
      </c>
      <c r="H22" s="10">
        <v>0</v>
      </c>
      <c r="I22" s="10">
        <v>8.8582677165354298</v>
      </c>
      <c r="J22" s="10">
        <v>9000</v>
      </c>
      <c r="K22" s="10">
        <v>9000</v>
      </c>
      <c r="L22" s="8">
        <v>42951</v>
      </c>
      <c r="M22" s="3" t="s">
        <v>193</v>
      </c>
      <c r="N22" s="10">
        <v>10133.8582677165</v>
      </c>
      <c r="O22" s="10">
        <v>0</v>
      </c>
      <c r="P22" s="12" t="s">
        <v>138</v>
      </c>
      <c r="Q22" s="10">
        <v>-1133.85826771654</v>
      </c>
      <c r="R22" s="14">
        <v>0</v>
      </c>
      <c r="S22" s="11">
        <v>9000</v>
      </c>
      <c r="T22" s="10">
        <v>0</v>
      </c>
      <c r="U22" s="15">
        <v>1</v>
      </c>
      <c r="V22" s="12" t="s">
        <v>147</v>
      </c>
      <c r="W22" s="10">
        <v>9000</v>
      </c>
      <c r="X22" s="10">
        <v>9000</v>
      </c>
    </row>
    <row r="23" spans="1:24" x14ac:dyDescent="0.35">
      <c r="A23" s="3">
        <v>16</v>
      </c>
      <c r="B23" s="3" t="s">
        <v>67</v>
      </c>
      <c r="C23" s="9">
        <v>43003.333333333299</v>
      </c>
      <c r="D23" s="9">
        <v>43297.708333333299</v>
      </c>
      <c r="E23" s="12" t="s">
        <v>69</v>
      </c>
      <c r="F23" s="12"/>
      <c r="G23" s="10">
        <v>0</v>
      </c>
      <c r="H23" s="10">
        <v>0</v>
      </c>
      <c r="I23" s="10">
        <v>52.725118483412302</v>
      </c>
      <c r="J23" s="10">
        <v>89000</v>
      </c>
      <c r="K23" s="10">
        <v>89000</v>
      </c>
      <c r="L23" s="8">
        <v>43003</v>
      </c>
      <c r="M23" s="3" t="s">
        <v>225</v>
      </c>
      <c r="N23" s="10">
        <v>112199.05213270101</v>
      </c>
      <c r="O23" s="10">
        <v>0</v>
      </c>
      <c r="P23" s="12" t="s">
        <v>138</v>
      </c>
      <c r="Q23" s="10">
        <v>-8199.0521327014303</v>
      </c>
      <c r="R23" s="14">
        <v>0</v>
      </c>
      <c r="S23" s="11">
        <v>104000</v>
      </c>
      <c r="T23" s="10">
        <v>0</v>
      </c>
      <c r="U23" s="15">
        <v>1</v>
      </c>
      <c r="V23" s="12" t="s">
        <v>147</v>
      </c>
      <c r="W23" s="10">
        <v>89000</v>
      </c>
      <c r="X23" s="10">
        <v>89000</v>
      </c>
    </row>
    <row r="24" spans="1:24" ht="22" x14ac:dyDescent="0.35">
      <c r="A24" s="3">
        <v>17</v>
      </c>
      <c r="B24" s="3" t="s">
        <v>70</v>
      </c>
      <c r="C24" s="9">
        <v>43003.333333333299</v>
      </c>
      <c r="D24" s="9">
        <v>43147.708333333299</v>
      </c>
      <c r="E24" s="12" t="s">
        <v>72</v>
      </c>
      <c r="F24" s="12"/>
      <c r="G24" s="10">
        <v>0</v>
      </c>
      <c r="H24" s="10">
        <v>0</v>
      </c>
      <c r="I24" s="10">
        <v>59.523809523809497</v>
      </c>
      <c r="J24" s="10">
        <v>50000</v>
      </c>
      <c r="K24" s="10">
        <v>50000</v>
      </c>
      <c r="L24" s="8">
        <v>43003</v>
      </c>
      <c r="M24" s="3" t="s">
        <v>60</v>
      </c>
      <c r="N24" s="10">
        <v>73809.523809523802</v>
      </c>
      <c r="O24" s="10">
        <v>0</v>
      </c>
      <c r="P24" s="12" t="s">
        <v>138</v>
      </c>
      <c r="Q24" s="10">
        <v>-31359.523809523798</v>
      </c>
      <c r="R24" s="14">
        <v>0</v>
      </c>
      <c r="S24" s="11">
        <v>42450</v>
      </c>
      <c r="T24" s="10">
        <v>0</v>
      </c>
      <c r="U24" s="15">
        <v>1</v>
      </c>
      <c r="V24" s="12" t="s">
        <v>147</v>
      </c>
      <c r="W24" s="10">
        <v>50000</v>
      </c>
      <c r="X24" s="10">
        <v>50000</v>
      </c>
    </row>
    <row r="25" spans="1:24" ht="22" x14ac:dyDescent="0.35">
      <c r="A25" s="3">
        <v>18</v>
      </c>
      <c r="B25" s="3" t="s">
        <v>73</v>
      </c>
      <c r="C25" s="9">
        <v>43003.333333333299</v>
      </c>
      <c r="D25" s="9">
        <v>43147.708333333299</v>
      </c>
      <c r="E25" s="12" t="s">
        <v>72</v>
      </c>
      <c r="F25" s="12"/>
      <c r="G25" s="10">
        <v>0</v>
      </c>
      <c r="H25" s="10">
        <v>0</v>
      </c>
      <c r="I25" s="10">
        <v>35.714285714285701</v>
      </c>
      <c r="J25" s="10">
        <v>30000</v>
      </c>
      <c r="K25" s="10">
        <v>30000</v>
      </c>
      <c r="L25" s="8">
        <v>43003</v>
      </c>
      <c r="M25" s="3" t="s">
        <v>60</v>
      </c>
      <c r="N25" s="10">
        <v>44285.714285714297</v>
      </c>
      <c r="O25" s="10">
        <v>0</v>
      </c>
      <c r="P25" s="12" t="s">
        <v>138</v>
      </c>
      <c r="Q25" s="10">
        <v>-28285.714285714301</v>
      </c>
      <c r="R25" s="14">
        <v>0</v>
      </c>
      <c r="S25" s="11">
        <v>16000</v>
      </c>
      <c r="T25" s="10">
        <v>0</v>
      </c>
      <c r="U25" s="15">
        <v>1</v>
      </c>
      <c r="V25" s="12" t="s">
        <v>147</v>
      </c>
      <c r="W25" s="10">
        <v>30000</v>
      </c>
      <c r="X25" s="10">
        <v>30000</v>
      </c>
    </row>
    <row r="26" spans="1:24" ht="22" x14ac:dyDescent="0.35">
      <c r="A26" s="3">
        <v>19</v>
      </c>
      <c r="B26" s="3" t="s">
        <v>75</v>
      </c>
      <c r="C26" s="9">
        <v>43059.333333333299</v>
      </c>
      <c r="D26" s="9">
        <v>43238.708333333299</v>
      </c>
      <c r="E26" s="12" t="s">
        <v>77</v>
      </c>
      <c r="F26" s="12"/>
      <c r="G26" s="10">
        <v>0</v>
      </c>
      <c r="H26" s="10">
        <v>0</v>
      </c>
      <c r="I26" s="10">
        <v>38.461538461538503</v>
      </c>
      <c r="J26" s="10">
        <v>40000</v>
      </c>
      <c r="K26" s="10">
        <v>40000</v>
      </c>
      <c r="L26" s="8">
        <v>42999</v>
      </c>
      <c r="M26" s="3" t="s">
        <v>222</v>
      </c>
      <c r="N26" s="10">
        <v>76000</v>
      </c>
      <c r="O26" s="10">
        <v>0</v>
      </c>
      <c r="P26" s="12" t="s">
        <v>138</v>
      </c>
      <c r="Q26" s="10">
        <v>-24000</v>
      </c>
      <c r="R26" s="14">
        <v>0</v>
      </c>
      <c r="S26" s="11">
        <v>52000</v>
      </c>
      <c r="T26" s="10">
        <v>0</v>
      </c>
      <c r="U26" s="15">
        <v>1</v>
      </c>
      <c r="V26" s="12" t="s">
        <v>147</v>
      </c>
      <c r="W26" s="10">
        <v>40000</v>
      </c>
      <c r="X26" s="10">
        <v>40000</v>
      </c>
    </row>
    <row r="27" spans="1:24" x14ac:dyDescent="0.35">
      <c r="A27" s="3">
        <v>20</v>
      </c>
      <c r="B27" s="3" t="s">
        <v>78</v>
      </c>
      <c r="C27" s="9">
        <v>43045.333333333299</v>
      </c>
      <c r="D27" s="9">
        <v>43070.708333333299</v>
      </c>
      <c r="E27" s="12" t="s">
        <v>80</v>
      </c>
      <c r="F27" s="12"/>
      <c r="G27" s="10">
        <v>0</v>
      </c>
      <c r="H27" s="10">
        <v>0</v>
      </c>
      <c r="I27" s="10">
        <v>156.25</v>
      </c>
      <c r="J27" s="10">
        <v>25000</v>
      </c>
      <c r="K27" s="10">
        <v>25000</v>
      </c>
      <c r="L27" s="8">
        <v>43045</v>
      </c>
      <c r="M27" s="3" t="s">
        <v>211</v>
      </c>
      <c r="N27" s="10">
        <v>156250</v>
      </c>
      <c r="O27" s="10">
        <v>0</v>
      </c>
      <c r="P27" s="12" t="s">
        <v>138</v>
      </c>
      <c r="Q27" s="10">
        <v>-128250</v>
      </c>
      <c r="R27" s="14">
        <v>0</v>
      </c>
      <c r="S27" s="11">
        <v>28000</v>
      </c>
      <c r="T27" s="10">
        <v>0</v>
      </c>
      <c r="U27" s="15">
        <v>1</v>
      </c>
      <c r="V27" s="12" t="s">
        <v>147</v>
      </c>
      <c r="W27" s="10">
        <v>25000</v>
      </c>
      <c r="X27" s="10">
        <v>25000</v>
      </c>
    </row>
    <row r="28" spans="1:24" x14ac:dyDescent="0.35">
      <c r="A28" s="3">
        <v>21</v>
      </c>
      <c r="B28" s="3" t="s">
        <v>81</v>
      </c>
      <c r="C28" s="9">
        <v>43119.333333333299</v>
      </c>
      <c r="D28" s="9">
        <v>43207.708333333299</v>
      </c>
      <c r="E28" s="12" t="s">
        <v>83</v>
      </c>
      <c r="F28" s="12"/>
      <c r="G28" s="10">
        <v>0</v>
      </c>
      <c r="H28" s="10">
        <v>0</v>
      </c>
      <c r="I28" s="10">
        <v>49.603174603174601</v>
      </c>
      <c r="J28" s="10">
        <v>25000</v>
      </c>
      <c r="K28" s="10">
        <v>25000</v>
      </c>
      <c r="L28" s="8">
        <v>43151</v>
      </c>
      <c r="M28" s="3" t="s">
        <v>212</v>
      </c>
      <c r="N28" s="10">
        <v>19444.444444444402</v>
      </c>
      <c r="O28" s="10">
        <v>0</v>
      </c>
      <c r="P28" s="12" t="s">
        <v>138</v>
      </c>
      <c r="Q28" s="10">
        <v>13355.5555555556</v>
      </c>
      <c r="R28" s="14">
        <v>0</v>
      </c>
      <c r="S28" s="11">
        <v>32800</v>
      </c>
      <c r="T28" s="10">
        <v>0</v>
      </c>
      <c r="U28" s="15">
        <v>1</v>
      </c>
      <c r="V28" s="12" t="s">
        <v>147</v>
      </c>
      <c r="W28" s="10">
        <v>25000</v>
      </c>
      <c r="X28" s="10">
        <v>25000</v>
      </c>
    </row>
    <row r="29" spans="1:24" ht="22" x14ac:dyDescent="0.35">
      <c r="A29" s="3">
        <v>22</v>
      </c>
      <c r="B29" s="3" t="s">
        <v>84</v>
      </c>
      <c r="C29" s="9">
        <v>43070.333333333299</v>
      </c>
      <c r="D29" s="9">
        <v>43098.708333333299</v>
      </c>
      <c r="E29" s="12" t="s">
        <v>26</v>
      </c>
      <c r="F29" s="12"/>
      <c r="G29" s="10">
        <v>0</v>
      </c>
      <c r="H29" s="10">
        <v>0</v>
      </c>
      <c r="I29" s="10">
        <v>107.142857142857</v>
      </c>
      <c r="J29" s="10">
        <v>18000</v>
      </c>
      <c r="K29" s="10">
        <v>18000</v>
      </c>
      <c r="L29" s="8">
        <v>43053</v>
      </c>
      <c r="M29" s="3" t="s">
        <v>205</v>
      </c>
      <c r="N29" s="10">
        <v>60857.142857142899</v>
      </c>
      <c r="O29" s="10">
        <v>0</v>
      </c>
      <c r="P29" s="12" t="s">
        <v>138</v>
      </c>
      <c r="Q29" s="10">
        <v>-45157.142857142899</v>
      </c>
      <c r="R29" s="14">
        <v>0</v>
      </c>
      <c r="S29" s="11">
        <v>15700</v>
      </c>
      <c r="T29" s="10">
        <v>0</v>
      </c>
      <c r="U29" s="15">
        <v>1</v>
      </c>
      <c r="V29" s="12" t="s">
        <v>147</v>
      </c>
      <c r="W29" s="10">
        <v>18000</v>
      </c>
      <c r="X29" s="10">
        <v>18000</v>
      </c>
    </row>
    <row r="30" spans="1:24" ht="22" x14ac:dyDescent="0.35">
      <c r="A30" s="3">
        <v>23</v>
      </c>
      <c r="B30" s="3" t="s">
        <v>86</v>
      </c>
      <c r="C30" s="9">
        <v>43332.333333333299</v>
      </c>
      <c r="D30" s="9">
        <v>43343.708333333299</v>
      </c>
      <c r="E30" s="12" t="s">
        <v>88</v>
      </c>
      <c r="F30" s="12"/>
      <c r="G30" s="10">
        <v>0</v>
      </c>
      <c r="H30" s="10">
        <v>0</v>
      </c>
      <c r="I30" s="10">
        <v>1562.5</v>
      </c>
      <c r="J30" s="10">
        <v>125000</v>
      </c>
      <c r="K30" s="10">
        <v>125000</v>
      </c>
      <c r="L30" s="8">
        <v>43344</v>
      </c>
      <c r="M30" s="3" t="s">
        <v>26</v>
      </c>
      <c r="N30" s="10">
        <v>262500</v>
      </c>
      <c r="O30" s="10">
        <v>0</v>
      </c>
      <c r="P30" s="12" t="s">
        <v>138</v>
      </c>
      <c r="Q30" s="10">
        <v>-138610</v>
      </c>
      <c r="R30" s="14">
        <v>0</v>
      </c>
      <c r="S30" s="11">
        <v>123890</v>
      </c>
      <c r="T30" s="10">
        <v>0</v>
      </c>
      <c r="U30" s="15">
        <v>1</v>
      </c>
      <c r="V30" s="12" t="s">
        <v>147</v>
      </c>
      <c r="W30" s="10">
        <v>125000</v>
      </c>
      <c r="X30" s="10">
        <v>125000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8"/>
  <sheetViews>
    <sheetView workbookViewId="0"/>
  </sheetViews>
  <sheetFormatPr baseColWidth="10" defaultColWidth="8.81640625" defaultRowHeight="14.5" x14ac:dyDescent="0.35"/>
  <cols>
    <col min="1" max="1" width="12.6328125" customWidth="1"/>
    <col min="4" max="4" width="8.6328125" customWidth="1"/>
    <col min="7" max="7" width="12.6328125" customWidth="1"/>
  </cols>
  <sheetData>
    <row r="1" spans="1:7" x14ac:dyDescent="0.35">
      <c r="A1" s="30" t="s">
        <v>226</v>
      </c>
      <c r="B1" s="30"/>
      <c r="D1" s="30" t="s">
        <v>227</v>
      </c>
      <c r="E1" s="30"/>
      <c r="G1" s="1" t="s">
        <v>228</v>
      </c>
    </row>
    <row r="2" spans="1:7" x14ac:dyDescent="0.35">
      <c r="A2" s="12" t="s">
        <v>229</v>
      </c>
      <c r="B2" s="16" t="s">
        <v>230</v>
      </c>
      <c r="D2" s="12" t="s">
        <v>256</v>
      </c>
      <c r="E2" s="17" t="s">
        <v>239</v>
      </c>
    </row>
    <row r="3" spans="1:7" x14ac:dyDescent="0.35">
      <c r="A3" s="12" t="s">
        <v>231</v>
      </c>
      <c r="B3" s="16" t="s">
        <v>230</v>
      </c>
      <c r="D3" s="12" t="s">
        <v>257</v>
      </c>
      <c r="E3" s="17" t="s">
        <v>239</v>
      </c>
    </row>
    <row r="4" spans="1:7" x14ac:dyDescent="0.35">
      <c r="A4" s="12" t="s">
        <v>232</v>
      </c>
      <c r="B4" s="16" t="s">
        <v>230</v>
      </c>
      <c r="D4" s="12" t="s">
        <v>258</v>
      </c>
      <c r="E4" s="17" t="s">
        <v>239</v>
      </c>
    </row>
    <row r="5" spans="1:7" x14ac:dyDescent="0.35">
      <c r="A5" s="12" t="s">
        <v>233</v>
      </c>
      <c r="B5" s="16" t="s">
        <v>230</v>
      </c>
      <c r="D5" s="12" t="s">
        <v>259</v>
      </c>
      <c r="E5" s="17" t="s">
        <v>239</v>
      </c>
    </row>
    <row r="6" spans="1:7" x14ac:dyDescent="0.35">
      <c r="A6" s="12" t="s">
        <v>234</v>
      </c>
      <c r="B6" s="16" t="s">
        <v>230</v>
      </c>
      <c r="D6" s="12" t="s">
        <v>260</v>
      </c>
      <c r="E6" s="17" t="s">
        <v>239</v>
      </c>
    </row>
    <row r="7" spans="1:7" x14ac:dyDescent="0.35">
      <c r="A7" s="12" t="s">
        <v>235</v>
      </c>
      <c r="B7" s="16" t="s">
        <v>230</v>
      </c>
      <c r="D7" s="12" t="s">
        <v>261</v>
      </c>
      <c r="E7" s="16" t="s">
        <v>230</v>
      </c>
    </row>
    <row r="8" spans="1:7" x14ac:dyDescent="0.35">
      <c r="A8" s="12" t="s">
        <v>236</v>
      </c>
      <c r="B8" s="16" t="s">
        <v>230</v>
      </c>
      <c r="D8" s="12" t="s">
        <v>262</v>
      </c>
      <c r="E8" s="16" t="s">
        <v>230</v>
      </c>
    </row>
    <row r="9" spans="1:7" x14ac:dyDescent="0.35">
      <c r="A9" s="12" t="s">
        <v>237</v>
      </c>
      <c r="B9" s="16" t="s">
        <v>230</v>
      </c>
    </row>
    <row r="10" spans="1:7" x14ac:dyDescent="0.35">
      <c r="A10" s="12" t="s">
        <v>238</v>
      </c>
      <c r="B10" s="17" t="s">
        <v>239</v>
      </c>
    </row>
    <row r="11" spans="1:7" x14ac:dyDescent="0.35">
      <c r="A11" s="12" t="s">
        <v>240</v>
      </c>
      <c r="B11" s="17" t="s">
        <v>239</v>
      </c>
    </row>
    <row r="12" spans="1:7" x14ac:dyDescent="0.35">
      <c r="A12" s="12" t="s">
        <v>241</v>
      </c>
      <c r="B12" s="17" t="s">
        <v>239</v>
      </c>
    </row>
    <row r="13" spans="1:7" x14ac:dyDescent="0.35">
      <c r="A13" s="12" t="s">
        <v>242</v>
      </c>
      <c r="B13" s="17" t="s">
        <v>239</v>
      </c>
    </row>
    <row r="14" spans="1:7" x14ac:dyDescent="0.35">
      <c r="A14" s="12" t="s">
        <v>243</v>
      </c>
      <c r="B14" s="16" t="s">
        <v>230</v>
      </c>
    </row>
    <row r="15" spans="1:7" x14ac:dyDescent="0.35">
      <c r="A15" s="12" t="s">
        <v>244</v>
      </c>
      <c r="B15" s="17" t="s">
        <v>239</v>
      </c>
    </row>
    <row r="16" spans="1:7" x14ac:dyDescent="0.35">
      <c r="A16" s="12" t="s">
        <v>245</v>
      </c>
      <c r="B16" s="17" t="s">
        <v>239</v>
      </c>
    </row>
    <row r="17" spans="1:2" x14ac:dyDescent="0.35">
      <c r="A17" s="12" t="s">
        <v>246</v>
      </c>
      <c r="B17" s="17" t="s">
        <v>239</v>
      </c>
    </row>
    <row r="18" spans="1:2" x14ac:dyDescent="0.35">
      <c r="A18" s="12" t="s">
        <v>247</v>
      </c>
      <c r="B18" s="17" t="s">
        <v>239</v>
      </c>
    </row>
    <row r="19" spans="1:2" x14ac:dyDescent="0.35">
      <c r="A19" s="12" t="s">
        <v>248</v>
      </c>
      <c r="B19" s="16" t="s">
        <v>230</v>
      </c>
    </row>
    <row r="20" spans="1:2" x14ac:dyDescent="0.35">
      <c r="A20" s="12" t="s">
        <v>249</v>
      </c>
      <c r="B20" s="16" t="s">
        <v>230</v>
      </c>
    </row>
    <row r="21" spans="1:2" x14ac:dyDescent="0.35">
      <c r="A21" s="12" t="s">
        <v>250</v>
      </c>
      <c r="B21" s="16" t="s">
        <v>230</v>
      </c>
    </row>
    <row r="22" spans="1:2" x14ac:dyDescent="0.35">
      <c r="A22" s="12" t="s">
        <v>251</v>
      </c>
      <c r="B22" s="16" t="s">
        <v>230</v>
      </c>
    </row>
    <row r="23" spans="1:2" x14ac:dyDescent="0.35">
      <c r="A23" s="12" t="s">
        <v>252</v>
      </c>
      <c r="B23" s="16" t="s">
        <v>230</v>
      </c>
    </row>
    <row r="24" spans="1:2" x14ac:dyDescent="0.35">
      <c r="A24" s="12" t="s">
        <v>253</v>
      </c>
      <c r="B24" s="16" t="s">
        <v>230</v>
      </c>
    </row>
    <row r="25" spans="1:2" x14ac:dyDescent="0.35">
      <c r="A25" s="12" t="s">
        <v>254</v>
      </c>
      <c r="B25" s="16" t="s">
        <v>230</v>
      </c>
    </row>
    <row r="28" spans="1:2" x14ac:dyDescent="0.35">
      <c r="A28" s="18" t="s">
        <v>255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I13"/>
  <sheetViews>
    <sheetView workbookViewId="0">
      <selection sqref="A1:C13"/>
    </sheetView>
  </sheetViews>
  <sheetFormatPr baseColWidth="10" defaultColWidth="8.81640625" defaultRowHeight="14.5" x14ac:dyDescent="0.35"/>
  <cols>
    <col min="1" max="14" width="15.6328125" customWidth="1"/>
    <col min="15" max="31" width="17.6328125" customWidth="1"/>
  </cols>
  <sheetData>
    <row r="1" spans="1:35" x14ac:dyDescent="0.35">
      <c r="A1" s="30" t="s">
        <v>0</v>
      </c>
      <c r="B1" s="30"/>
      <c r="C1" s="30"/>
      <c r="D1" s="30" t="s">
        <v>263</v>
      </c>
      <c r="E1" s="30"/>
      <c r="F1" s="30"/>
      <c r="G1" s="30"/>
      <c r="H1" s="30" t="s">
        <v>264</v>
      </c>
      <c r="I1" s="30"/>
      <c r="J1" s="30"/>
      <c r="K1" s="30"/>
      <c r="L1" s="30"/>
      <c r="M1" s="30"/>
      <c r="N1" s="30"/>
    </row>
    <row r="2" spans="1:35" ht="30" customHeight="1" x14ac:dyDescent="0.35">
      <c r="A2" s="1" t="s">
        <v>6</v>
      </c>
      <c r="B2" s="1" t="s">
        <v>265</v>
      </c>
      <c r="C2" s="1" t="s">
        <v>266</v>
      </c>
      <c r="D2" s="1" t="s">
        <v>133</v>
      </c>
      <c r="E2" s="1" t="s">
        <v>132</v>
      </c>
      <c r="F2" s="1" t="s">
        <v>267</v>
      </c>
      <c r="G2" s="1" t="s">
        <v>268</v>
      </c>
      <c r="H2" s="1" t="s">
        <v>269</v>
      </c>
      <c r="I2" s="1" t="s">
        <v>270</v>
      </c>
      <c r="J2" s="1" t="s">
        <v>271</v>
      </c>
      <c r="K2" s="1" t="s">
        <v>272</v>
      </c>
      <c r="L2" s="1" t="s">
        <v>273</v>
      </c>
      <c r="M2" s="1" t="s">
        <v>274</v>
      </c>
      <c r="N2" s="1" t="s">
        <v>275</v>
      </c>
      <c r="O2" s="1" t="s">
        <v>276</v>
      </c>
      <c r="P2" s="1" t="s">
        <v>277</v>
      </c>
      <c r="Q2" s="1" t="s">
        <v>278</v>
      </c>
      <c r="R2" s="1" t="s">
        <v>279</v>
      </c>
      <c r="S2" s="1" t="s">
        <v>280</v>
      </c>
      <c r="T2" s="1" t="s">
        <v>280</v>
      </c>
      <c r="U2" s="1" t="s">
        <v>281</v>
      </c>
      <c r="V2" s="1" t="s">
        <v>282</v>
      </c>
      <c r="W2" s="1" t="s">
        <v>283</v>
      </c>
      <c r="X2" s="1" t="s">
        <v>284</v>
      </c>
      <c r="Y2" s="1" t="s">
        <v>285</v>
      </c>
      <c r="Z2" s="1" t="s">
        <v>286</v>
      </c>
      <c r="AA2" s="1" t="s">
        <v>287</v>
      </c>
      <c r="AB2" s="1" t="s">
        <v>288</v>
      </c>
      <c r="AC2" s="1" t="s">
        <v>289</v>
      </c>
      <c r="AD2" s="1" t="s">
        <v>290</v>
      </c>
      <c r="AE2" s="1" t="s">
        <v>291</v>
      </c>
      <c r="AF2" s="1" t="s">
        <v>304</v>
      </c>
      <c r="AH2" s="1" t="s">
        <v>305</v>
      </c>
      <c r="AI2" s="1" t="s">
        <v>275</v>
      </c>
    </row>
    <row r="3" spans="1:35" x14ac:dyDescent="0.35">
      <c r="A3" s="12" t="s">
        <v>134</v>
      </c>
      <c r="B3" s="9">
        <v>42674.333333333299</v>
      </c>
      <c r="C3" s="9">
        <v>42694.708333333299</v>
      </c>
      <c r="D3" s="10">
        <v>8092.7835051546399</v>
      </c>
      <c r="E3" s="10">
        <v>6492.48120300751</v>
      </c>
      <c r="F3" s="10">
        <v>7116.9172932330803</v>
      </c>
      <c r="G3" s="9">
        <v>42689.708333333299</v>
      </c>
      <c r="H3" s="10">
        <v>-1600.3023021471199</v>
      </c>
      <c r="I3" s="19">
        <v>0.802255639097744</v>
      </c>
      <c r="J3" s="10">
        <v>-624.43609022556302</v>
      </c>
      <c r="K3" s="19">
        <v>0.91226031377106298</v>
      </c>
      <c r="L3" s="12" t="s">
        <v>292</v>
      </c>
      <c r="M3" s="19">
        <v>0.8</v>
      </c>
      <c r="N3" s="19">
        <v>1</v>
      </c>
      <c r="O3" s="9">
        <v>43346.5</v>
      </c>
      <c r="P3" s="9">
        <v>43510.458333333299</v>
      </c>
      <c r="Q3" s="9">
        <v>43591.666666666701</v>
      </c>
      <c r="R3" s="9">
        <v>43348.708333333299</v>
      </c>
      <c r="S3" s="9">
        <v>43510.458333333299</v>
      </c>
      <c r="T3" s="9">
        <v>43588.458333333299</v>
      </c>
      <c r="U3" s="9">
        <v>43348.708333333299</v>
      </c>
      <c r="V3" s="9">
        <v>43511.708333333299</v>
      </c>
      <c r="W3" s="9">
        <v>43592.416666666701</v>
      </c>
      <c r="X3" s="10">
        <v>1512624.43609005</v>
      </c>
      <c r="Y3" s="10">
        <v>1657421.6560507701</v>
      </c>
      <c r="Z3" s="10">
        <v>1883710.16940174</v>
      </c>
      <c r="AA3" s="10">
        <v>1889001.31578926</v>
      </c>
      <c r="AB3" s="10">
        <v>2064197.80065548</v>
      </c>
      <c r="AC3" s="10">
        <v>2069997.8407401501</v>
      </c>
      <c r="AD3" s="10">
        <v>1698205.5534663999</v>
      </c>
      <c r="AE3" s="10">
        <v>1699062.9259713599</v>
      </c>
      <c r="AF3" s="7">
        <v>0.8</v>
      </c>
      <c r="AH3" s="7">
        <v>0.802255639097744</v>
      </c>
      <c r="AI3" s="7">
        <v>1</v>
      </c>
    </row>
    <row r="4" spans="1:35" x14ac:dyDescent="0.35">
      <c r="A4" s="12" t="s">
        <v>140</v>
      </c>
      <c r="B4" s="9">
        <v>42694.708333333299</v>
      </c>
      <c r="C4" s="9">
        <v>42745.708333333299</v>
      </c>
      <c r="D4" s="10">
        <v>28054.982817869401</v>
      </c>
      <c r="E4" s="10">
        <v>15700</v>
      </c>
      <c r="F4" s="10">
        <v>17210</v>
      </c>
      <c r="G4" s="9">
        <v>42712.708333333299</v>
      </c>
      <c r="H4" s="10">
        <v>-12354.982817869401</v>
      </c>
      <c r="I4" s="19">
        <v>0.55961538461538496</v>
      </c>
      <c r="J4" s="10">
        <v>-1510</v>
      </c>
      <c r="K4" s="19">
        <v>0.91226031377106298</v>
      </c>
      <c r="L4" s="12" t="s">
        <v>293</v>
      </c>
      <c r="M4" s="19">
        <v>0.55769230769230804</v>
      </c>
      <c r="N4" s="19">
        <v>1</v>
      </c>
      <c r="O4" s="9">
        <v>43349.666666666701</v>
      </c>
      <c r="P4" s="9">
        <v>43873.625</v>
      </c>
      <c r="Q4" s="9">
        <v>43990.416666666701</v>
      </c>
      <c r="R4" s="9">
        <v>43376.666666666701</v>
      </c>
      <c r="S4" s="9">
        <v>43873.625</v>
      </c>
      <c r="T4" s="9">
        <v>43983.416666666701</v>
      </c>
      <c r="U4" s="9">
        <v>43376.708333333299</v>
      </c>
      <c r="V4" s="9">
        <v>43878.625</v>
      </c>
      <c r="W4" s="9">
        <v>43986.5</v>
      </c>
      <c r="X4" s="10">
        <v>1513509.99999983</v>
      </c>
      <c r="Y4" s="10">
        <v>1657421.6560507701</v>
      </c>
      <c r="Z4" s="10">
        <v>2691010.6872849199</v>
      </c>
      <c r="AA4" s="10">
        <v>2700230.6896548602</v>
      </c>
      <c r="AB4" s="10">
        <v>2948172.4094377998</v>
      </c>
      <c r="AC4" s="10">
        <v>2958279.1763668898</v>
      </c>
      <c r="AD4" s="10">
        <v>1794855.6101044801</v>
      </c>
      <c r="AE4" s="10">
        <v>1795668.2475580301</v>
      </c>
      <c r="AF4" s="7">
        <v>0.55769230769230804</v>
      </c>
      <c r="AH4" s="7">
        <v>0.55961538461538496</v>
      </c>
      <c r="AI4" s="7">
        <v>1</v>
      </c>
    </row>
    <row r="5" spans="1:35" x14ac:dyDescent="0.35">
      <c r="A5" s="12" t="s">
        <v>143</v>
      </c>
      <c r="B5" s="9">
        <v>42745.708333333299</v>
      </c>
      <c r="C5" s="9">
        <v>42844.708333333299</v>
      </c>
      <c r="D5" s="10">
        <v>146813.19356549799</v>
      </c>
      <c r="E5" s="10">
        <v>118037.414965986</v>
      </c>
      <c r="F5" s="10">
        <v>119086.96598639499</v>
      </c>
      <c r="G5" s="9">
        <v>42816.625</v>
      </c>
      <c r="H5" s="10">
        <v>-28775.778599511399</v>
      </c>
      <c r="I5" s="19">
        <v>0.80399732544014402</v>
      </c>
      <c r="J5" s="10">
        <v>-1049.55102040817</v>
      </c>
      <c r="K5" s="19">
        <v>0.991186684355296</v>
      </c>
      <c r="L5" s="12" t="s">
        <v>294</v>
      </c>
      <c r="M5" s="19">
        <v>0.83536585365853699</v>
      </c>
      <c r="N5" s="19">
        <v>0.82257143482415795</v>
      </c>
      <c r="O5" s="9">
        <v>43357.375</v>
      </c>
      <c r="P5" s="9">
        <v>43508.708333333299</v>
      </c>
      <c r="Q5" s="9">
        <v>43516.458333333299</v>
      </c>
      <c r="R5" s="9">
        <v>43378.375</v>
      </c>
      <c r="S5" s="9">
        <v>43508.708333333299</v>
      </c>
      <c r="T5" s="9">
        <v>43515.416666666701</v>
      </c>
      <c r="U5" s="9">
        <v>43374.416666666701</v>
      </c>
      <c r="V5" s="9">
        <v>43476.583333333299</v>
      </c>
      <c r="W5" s="9">
        <v>43482.583333333299</v>
      </c>
      <c r="X5" s="10">
        <v>1513049.5510202399</v>
      </c>
      <c r="Y5" s="10">
        <v>1525444.2214216101</v>
      </c>
      <c r="Z5" s="10">
        <v>1852877.04329881</v>
      </c>
      <c r="AA5" s="10">
        <v>1787772.1042750799</v>
      </c>
      <c r="AB5" s="10">
        <v>1868293.3513003101</v>
      </c>
      <c r="AC5" s="10">
        <v>1802609.5199380401</v>
      </c>
      <c r="AD5" s="10">
        <v>1580648.50782918</v>
      </c>
      <c r="AE5" s="10">
        <v>1571097.26635342</v>
      </c>
      <c r="AF5" s="7">
        <v>0.83536585365853699</v>
      </c>
      <c r="AH5" s="7">
        <v>0.80399732544014402</v>
      </c>
      <c r="AI5" s="7">
        <v>0.82257143482415795</v>
      </c>
    </row>
    <row r="6" spans="1:35" x14ac:dyDescent="0.35">
      <c r="A6" s="12" t="s">
        <v>151</v>
      </c>
      <c r="B6" s="9">
        <v>42844.708333333299</v>
      </c>
      <c r="C6" s="9">
        <v>42951.708333333299</v>
      </c>
      <c r="D6" s="10">
        <v>294932.96819334599</v>
      </c>
      <c r="E6" s="10">
        <v>233457.64058032399</v>
      </c>
      <c r="F6" s="10">
        <v>236467.06925765099</v>
      </c>
      <c r="G6" s="9">
        <v>42927.708333333299</v>
      </c>
      <c r="H6" s="10">
        <v>-61475.3276130222</v>
      </c>
      <c r="I6" s="19">
        <v>0.79156169624034201</v>
      </c>
      <c r="J6" s="10">
        <v>-3009.4286773271201</v>
      </c>
      <c r="K6" s="19">
        <v>0.98727337093162804</v>
      </c>
      <c r="L6" s="12" t="s">
        <v>295</v>
      </c>
      <c r="M6" s="19">
        <v>0.91</v>
      </c>
      <c r="N6" s="19">
        <v>0.90278717999182101</v>
      </c>
      <c r="O6" s="9">
        <v>43371.5</v>
      </c>
      <c r="P6" s="9">
        <v>43522.458333333299</v>
      </c>
      <c r="Q6" s="9">
        <v>43532.416666666701</v>
      </c>
      <c r="R6" s="9">
        <v>43403.625</v>
      </c>
      <c r="S6" s="9">
        <v>43522.458333333299</v>
      </c>
      <c r="T6" s="9">
        <v>43529.583333333299</v>
      </c>
      <c r="U6" s="9">
        <v>43369.708333333299</v>
      </c>
      <c r="V6" s="9">
        <v>43411.5</v>
      </c>
      <c r="W6" s="9">
        <v>43417.625</v>
      </c>
      <c r="X6" s="10">
        <v>1515009.4286771601</v>
      </c>
      <c r="Y6" s="10">
        <v>1531490.7142416399</v>
      </c>
      <c r="Z6" s="10">
        <v>1851682.1124970601</v>
      </c>
      <c r="AA6" s="10">
        <v>1641458.67301535</v>
      </c>
      <c r="AB6" s="10">
        <v>1872503.33924763</v>
      </c>
      <c r="AC6" s="10">
        <v>1659569.97583346</v>
      </c>
      <c r="AD6" s="10">
        <v>1584954.05141825</v>
      </c>
      <c r="AE6" s="10">
        <v>1552085.26399031</v>
      </c>
      <c r="AF6" s="7">
        <v>0.91</v>
      </c>
      <c r="AH6" s="7">
        <v>0.79156169624034201</v>
      </c>
      <c r="AI6" s="7">
        <v>0.90278717999182101</v>
      </c>
    </row>
    <row r="7" spans="1:35" x14ac:dyDescent="0.35">
      <c r="A7" s="12" t="s">
        <v>159</v>
      </c>
      <c r="B7" s="9">
        <v>42951.708333333299</v>
      </c>
      <c r="C7" s="9">
        <v>42999.708333333299</v>
      </c>
      <c r="D7" s="10">
        <v>440829.70824007801</v>
      </c>
      <c r="E7" s="10">
        <v>516610</v>
      </c>
      <c r="F7" s="10">
        <v>516473</v>
      </c>
      <c r="G7" s="9">
        <v>43018.458333333299</v>
      </c>
      <c r="H7" s="10">
        <v>75780.291759922198</v>
      </c>
      <c r="I7" s="19">
        <v>1.1719037767723499</v>
      </c>
      <c r="J7" s="10">
        <v>137</v>
      </c>
      <c r="K7" s="19">
        <v>1.00026526072031</v>
      </c>
      <c r="L7" s="12" t="s">
        <v>296</v>
      </c>
      <c r="M7" s="19">
        <v>1.0528846153846201</v>
      </c>
      <c r="N7" s="19">
        <v>0.871510171982249</v>
      </c>
      <c r="O7" s="9">
        <v>43311.708333333299</v>
      </c>
      <c r="P7" s="9">
        <v>43245.583333333299</v>
      </c>
      <c r="Q7" s="9">
        <v>43245.5</v>
      </c>
      <c r="R7" s="9">
        <v>43287.625</v>
      </c>
      <c r="S7" s="9">
        <v>43245.583333333299</v>
      </c>
      <c r="T7" s="9">
        <v>43245.5</v>
      </c>
      <c r="U7" s="9">
        <v>43327.583333333299</v>
      </c>
      <c r="V7" s="9">
        <v>43311.666666666701</v>
      </c>
      <c r="W7" s="9">
        <v>43311.666666666701</v>
      </c>
      <c r="X7" s="10">
        <v>1511862.99999983</v>
      </c>
      <c r="Y7" s="10">
        <v>1511599.03215174</v>
      </c>
      <c r="Z7" s="10">
        <v>1365851.60917329</v>
      </c>
      <c r="AA7" s="10">
        <v>1461866.2420089699</v>
      </c>
      <c r="AB7" s="10">
        <v>1365626.3621408001</v>
      </c>
      <c r="AC7" s="10">
        <v>1461615.53281992</v>
      </c>
      <c r="AD7" s="10">
        <v>1478580.8382536599</v>
      </c>
      <c r="AE7" s="10">
        <v>1501238.2381974501</v>
      </c>
      <c r="AF7" s="7">
        <v>1.0528846153846201</v>
      </c>
      <c r="AH7" s="7">
        <v>1.1719037767723499</v>
      </c>
      <c r="AI7" s="7">
        <v>0.871510171982249</v>
      </c>
    </row>
    <row r="8" spans="1:35" x14ac:dyDescent="0.35">
      <c r="A8" s="12" t="s">
        <v>172</v>
      </c>
      <c r="B8" s="9">
        <v>42999.708333333299</v>
      </c>
      <c r="C8" s="9">
        <v>43053.708333333299</v>
      </c>
      <c r="D8" s="10">
        <v>686858.43560635601</v>
      </c>
      <c r="E8" s="10">
        <v>788950</v>
      </c>
      <c r="F8" s="10">
        <v>790691.5</v>
      </c>
      <c r="G8" s="9">
        <v>43073.416666666701</v>
      </c>
      <c r="H8" s="10">
        <v>102091.564393644</v>
      </c>
      <c r="I8" s="19">
        <v>1.1486355253153699</v>
      </c>
      <c r="J8" s="10">
        <v>-1741.5</v>
      </c>
      <c r="K8" s="19">
        <v>0.99779749750692903</v>
      </c>
      <c r="L8" s="12" t="s">
        <v>297</v>
      </c>
      <c r="M8" s="19">
        <v>1.04871323529412</v>
      </c>
      <c r="N8" s="19">
        <v>0.93801012383554405</v>
      </c>
      <c r="O8" s="9">
        <v>43299.583333333299</v>
      </c>
      <c r="P8" s="9">
        <v>43257.666666666701</v>
      </c>
      <c r="Q8" s="9">
        <v>43258.625</v>
      </c>
      <c r="R8" s="9">
        <v>43287.583333333299</v>
      </c>
      <c r="S8" s="9">
        <v>43257.666666666701</v>
      </c>
      <c r="T8" s="9">
        <v>43258.416666666701</v>
      </c>
      <c r="U8" s="9">
        <v>43326.625</v>
      </c>
      <c r="V8" s="9">
        <v>43313.625</v>
      </c>
      <c r="W8" s="9">
        <v>43314.375</v>
      </c>
      <c r="X8" s="10">
        <v>1513741.49999983</v>
      </c>
      <c r="Y8" s="10">
        <v>1515337.53469784</v>
      </c>
      <c r="Z8" s="10">
        <v>1420177.5154192999</v>
      </c>
      <c r="AA8" s="10">
        <v>1480155.4789656601</v>
      </c>
      <c r="AB8" s="10">
        <v>1421567.02032564</v>
      </c>
      <c r="AC8" s="10">
        <v>1481677.37708261</v>
      </c>
      <c r="AD8" s="10">
        <v>1494071.40836598</v>
      </c>
      <c r="AE8" s="10">
        <v>1508016.7815322201</v>
      </c>
      <c r="AF8" s="7">
        <v>1.04871323529412</v>
      </c>
      <c r="AH8" s="7">
        <v>1.1486355253153699</v>
      </c>
      <c r="AI8" s="7">
        <v>0.93801012383554405</v>
      </c>
    </row>
    <row r="9" spans="1:35" x14ac:dyDescent="0.35">
      <c r="A9" s="12" t="s">
        <v>191</v>
      </c>
      <c r="B9" s="9">
        <v>43053.708333333299</v>
      </c>
      <c r="C9" s="9">
        <v>43151.708333333299</v>
      </c>
      <c r="D9" s="10">
        <v>1138969.75280904</v>
      </c>
      <c r="E9" s="10">
        <v>1126430</v>
      </c>
      <c r="F9" s="10">
        <v>1129790</v>
      </c>
      <c r="G9" s="9">
        <v>43147.5</v>
      </c>
      <c r="H9" s="10">
        <v>-12539.752809043301</v>
      </c>
      <c r="I9" s="19">
        <v>0.98899026705659498</v>
      </c>
      <c r="J9" s="10">
        <v>-3360</v>
      </c>
      <c r="K9" s="19">
        <v>0.99702599598155395</v>
      </c>
      <c r="L9" s="12" t="s">
        <v>298</v>
      </c>
      <c r="M9" s="19">
        <v>0.99269005847953196</v>
      </c>
      <c r="N9" s="19">
        <v>0.917643833315406</v>
      </c>
      <c r="O9" s="9">
        <v>43349.708333333299</v>
      </c>
      <c r="P9" s="9">
        <v>43353.458333333299</v>
      </c>
      <c r="Q9" s="9">
        <v>43354.625</v>
      </c>
      <c r="R9" s="9">
        <v>43349.625</v>
      </c>
      <c r="S9" s="9">
        <v>43353.458333333299</v>
      </c>
      <c r="T9" s="9">
        <v>43353.625</v>
      </c>
      <c r="U9" s="9">
        <v>43348.5</v>
      </c>
      <c r="V9" s="9">
        <v>43349.5</v>
      </c>
      <c r="W9" s="9">
        <v>43349.708333333299</v>
      </c>
      <c r="X9" s="10">
        <v>1515359.99999983</v>
      </c>
      <c r="Y9" s="10">
        <v>1516510.10715251</v>
      </c>
      <c r="Z9" s="10">
        <v>1519652.27958274</v>
      </c>
      <c r="AA9" s="10">
        <v>1518199.24889526</v>
      </c>
      <c r="AB9" s="10">
        <v>1520815.1900693199</v>
      </c>
      <c r="AC9" s="10">
        <v>1519357.8251727801</v>
      </c>
      <c r="AD9" s="10">
        <v>1517134.4831024599</v>
      </c>
      <c r="AE9" s="10">
        <v>1516846.7591403499</v>
      </c>
      <c r="AF9" s="7">
        <v>0.99269005847953196</v>
      </c>
      <c r="AH9" s="7">
        <v>0.98899026705659498</v>
      </c>
      <c r="AI9" s="7">
        <v>0.917643833315406</v>
      </c>
    </row>
    <row r="10" spans="1:35" x14ac:dyDescent="0.35">
      <c r="A10" s="12" t="s">
        <v>206</v>
      </c>
      <c r="B10" s="9">
        <v>43151.708333333299</v>
      </c>
      <c r="C10" s="9">
        <v>43218.708333333299</v>
      </c>
      <c r="D10" s="10">
        <v>1292969.53847733</v>
      </c>
      <c r="E10" s="10">
        <v>1257250</v>
      </c>
      <c r="F10" s="10">
        <v>1262570</v>
      </c>
      <c r="G10" s="9">
        <v>43189.666666666701</v>
      </c>
      <c r="H10" s="10">
        <v>-35719.538477331902</v>
      </c>
      <c r="I10" s="19">
        <v>0.97237402938401996</v>
      </c>
      <c r="J10" s="10">
        <v>-5320</v>
      </c>
      <c r="K10" s="19">
        <v>0.99578637224074695</v>
      </c>
      <c r="L10" s="12" t="s">
        <v>299</v>
      </c>
      <c r="M10" s="19">
        <v>0.94839743589743597</v>
      </c>
      <c r="N10" s="19">
        <v>0.98283175863099204</v>
      </c>
      <c r="O10" s="9">
        <v>43361.458333333299</v>
      </c>
      <c r="P10" s="9">
        <v>43363.583333333299</v>
      </c>
      <c r="Q10" s="9">
        <v>43367.625</v>
      </c>
      <c r="R10" s="9">
        <v>43360.625</v>
      </c>
      <c r="S10" s="9">
        <v>43363.583333333299</v>
      </c>
      <c r="T10" s="9">
        <v>43364.375</v>
      </c>
      <c r="U10" s="9">
        <v>43374.375</v>
      </c>
      <c r="V10" s="9">
        <v>43382.375</v>
      </c>
      <c r="W10" s="9">
        <v>43382.583333333299</v>
      </c>
      <c r="X10" s="10">
        <v>1517319.99999983</v>
      </c>
      <c r="Y10" s="10">
        <v>1518397.96380973</v>
      </c>
      <c r="Z10" s="10">
        <v>1524557.66349324</v>
      </c>
      <c r="AA10" s="10">
        <v>1531181.0172353699</v>
      </c>
      <c r="AB10" s="10">
        <v>1525666.2531689501</v>
      </c>
      <c r="AC10" s="10">
        <v>1532317.6333512501</v>
      </c>
      <c r="AD10" s="10">
        <v>1519606.62255457</v>
      </c>
      <c r="AE10" s="10">
        <v>1520856.3049975799</v>
      </c>
      <c r="AF10" s="7">
        <v>0.94839743589743597</v>
      </c>
      <c r="AH10" s="7">
        <v>0.97237402938401996</v>
      </c>
      <c r="AI10" s="7">
        <v>0.98283175863099204</v>
      </c>
    </row>
    <row r="11" spans="1:35" x14ac:dyDescent="0.35">
      <c r="A11" s="12" t="s">
        <v>213</v>
      </c>
      <c r="B11" s="9">
        <v>43218.708333333299</v>
      </c>
      <c r="C11" s="9">
        <v>43242.708333333299</v>
      </c>
      <c r="D11" s="10">
        <v>1318564.20346639</v>
      </c>
      <c r="E11" s="10">
        <v>1338500</v>
      </c>
      <c r="F11" s="10">
        <v>1352970</v>
      </c>
      <c r="G11" s="9">
        <v>43265.416666666701</v>
      </c>
      <c r="H11" s="10">
        <v>19935.796533611599</v>
      </c>
      <c r="I11" s="19">
        <v>1.0151193218208101</v>
      </c>
      <c r="J11" s="10">
        <v>-14470</v>
      </c>
      <c r="K11" s="19">
        <v>0.98930501045847297</v>
      </c>
      <c r="L11" s="12" t="s">
        <v>300</v>
      </c>
      <c r="M11" s="19">
        <v>1.03992628992629</v>
      </c>
      <c r="N11" s="19">
        <v>0.970937167625606</v>
      </c>
      <c r="O11" s="9">
        <v>43335.583333333299</v>
      </c>
      <c r="P11" s="9">
        <v>43334.666666666701</v>
      </c>
      <c r="Q11" s="9">
        <v>43341.708333333299</v>
      </c>
      <c r="R11" s="9">
        <v>43335.666666666701</v>
      </c>
      <c r="S11" s="9">
        <v>43334.666666666701</v>
      </c>
      <c r="T11" s="9">
        <v>43335.583333333299</v>
      </c>
      <c r="U11" s="9">
        <v>43321.625</v>
      </c>
      <c r="V11" s="9">
        <v>43319.583333333299</v>
      </c>
      <c r="W11" s="9">
        <v>43320.375</v>
      </c>
      <c r="X11" s="10">
        <v>1526469.99999983</v>
      </c>
      <c r="Y11" s="10">
        <v>1528345.6406423401</v>
      </c>
      <c r="Z11" s="10">
        <v>1523885.86798744</v>
      </c>
      <c r="AA11" s="10">
        <v>1519808.7477848299</v>
      </c>
      <c r="AB11" s="10">
        <v>1525733.57258944</v>
      </c>
      <c r="AC11" s="10">
        <v>1521612.37623492</v>
      </c>
      <c r="AD11" s="10">
        <v>1527435.16348826</v>
      </c>
      <c r="AE11" s="10">
        <v>1526569.07883538</v>
      </c>
      <c r="AF11" s="7">
        <v>1.03992628992629</v>
      </c>
      <c r="AH11" s="7">
        <v>1.0151193218208101</v>
      </c>
      <c r="AI11" s="7">
        <v>0.970937167625606</v>
      </c>
    </row>
    <row r="12" spans="1:35" x14ac:dyDescent="0.35">
      <c r="A12" s="12" t="s">
        <v>219</v>
      </c>
      <c r="B12" s="9">
        <v>43242.708333333299</v>
      </c>
      <c r="C12" s="9">
        <v>43344.708333333299</v>
      </c>
      <c r="D12" s="10">
        <v>1512000</v>
      </c>
      <c r="E12" s="10">
        <v>1373650</v>
      </c>
      <c r="F12" s="10">
        <v>1394570</v>
      </c>
      <c r="G12" s="9">
        <v>43308.5</v>
      </c>
      <c r="H12" s="10">
        <v>-138350</v>
      </c>
      <c r="I12" s="19">
        <v>0.90849867724867694</v>
      </c>
      <c r="J12" s="10">
        <v>-20920</v>
      </c>
      <c r="K12" s="19">
        <v>0.98499896025298095</v>
      </c>
      <c r="L12" s="12" t="s">
        <v>301</v>
      </c>
      <c r="M12" s="19">
        <v>0.94687500000000002</v>
      </c>
      <c r="N12" s="19">
        <v>0.99028099551495297</v>
      </c>
      <c r="O12" s="9">
        <v>43405.666666666701</v>
      </c>
      <c r="P12" s="9">
        <v>43412.458333333299</v>
      </c>
      <c r="Q12" s="9">
        <v>43424.458333333299</v>
      </c>
      <c r="R12" s="9">
        <v>43405.666666666701</v>
      </c>
      <c r="S12" s="9">
        <v>43412.458333333299</v>
      </c>
      <c r="T12" s="9">
        <v>43413.375</v>
      </c>
      <c r="U12" s="9">
        <v>43381.5</v>
      </c>
      <c r="V12" s="9">
        <v>43382.666666666701</v>
      </c>
      <c r="W12" s="9">
        <v>43383.458333333299</v>
      </c>
      <c r="X12" s="10">
        <v>1532919.99999983</v>
      </c>
      <c r="Y12" s="10">
        <v>1535027.0010554099</v>
      </c>
      <c r="Z12" s="10">
        <v>1546854.2063114599</v>
      </c>
      <c r="AA12" s="10">
        <v>1540682.2112209401</v>
      </c>
      <c r="AB12" s="10">
        <v>1549173.41833493</v>
      </c>
      <c r="AC12" s="10">
        <v>1542907.4268572</v>
      </c>
      <c r="AD12" s="10">
        <v>1537243.15295374</v>
      </c>
      <c r="AE12" s="10">
        <v>1536122.748682</v>
      </c>
      <c r="AF12" s="7">
        <v>0.94687500000000002</v>
      </c>
      <c r="AH12" s="7">
        <v>0.90849867724867694</v>
      </c>
      <c r="AI12" s="7">
        <v>0.99028099551495297</v>
      </c>
    </row>
    <row r="13" spans="1:35" x14ac:dyDescent="0.35">
      <c r="A13" s="12" t="s">
        <v>223</v>
      </c>
      <c r="B13" s="9">
        <v>43344.708333333299</v>
      </c>
      <c r="C13" s="9">
        <v>43374.708333333299</v>
      </c>
      <c r="D13" s="10">
        <v>1512000</v>
      </c>
      <c r="E13" s="10">
        <v>1512000</v>
      </c>
      <c r="F13" s="10">
        <v>1534060</v>
      </c>
      <c r="G13" s="9">
        <v>43343.708333333299</v>
      </c>
      <c r="H13" s="10">
        <v>0</v>
      </c>
      <c r="I13" s="19">
        <v>1</v>
      </c>
      <c r="J13" s="10">
        <v>-22060</v>
      </c>
      <c r="K13" s="19">
        <v>0.98561985841492505</v>
      </c>
      <c r="L13" s="12" t="s">
        <v>302</v>
      </c>
      <c r="M13" s="19">
        <v>0.95808383233532901</v>
      </c>
      <c r="N13" s="19">
        <v>1</v>
      </c>
      <c r="O13" s="9">
        <v>43343.708333333299</v>
      </c>
      <c r="P13" s="9">
        <v>43343.708333333299</v>
      </c>
      <c r="Q13" s="9">
        <v>43354.708333333299</v>
      </c>
      <c r="R13" s="9">
        <v>43374.708333333299</v>
      </c>
      <c r="S13" s="9">
        <v>43374.708333333299</v>
      </c>
      <c r="T13" s="9">
        <v>43374.708333333299</v>
      </c>
      <c r="U13" s="9">
        <v>43374.708333333299</v>
      </c>
      <c r="V13" s="9">
        <v>43374.708333333299</v>
      </c>
      <c r="W13" s="9">
        <v>43374.708333333299</v>
      </c>
      <c r="X13" s="10">
        <v>1534059.99999983</v>
      </c>
      <c r="Y13" s="10">
        <v>1534059.99999983</v>
      </c>
      <c r="Z13" s="10">
        <v>1534059.99999983</v>
      </c>
      <c r="AA13" s="10">
        <v>1534059.99999982</v>
      </c>
      <c r="AB13" s="10">
        <v>1534059.99999983</v>
      </c>
      <c r="AC13" s="10">
        <v>1534059.99999982</v>
      </c>
      <c r="AD13" s="10">
        <v>1534059.99999983</v>
      </c>
      <c r="AE13" s="10">
        <v>1534059.99999983</v>
      </c>
      <c r="AF13" s="7">
        <v>0.95808383233532901</v>
      </c>
      <c r="AH13" s="7">
        <v>1</v>
      </c>
      <c r="AI13" s="7">
        <v>1</v>
      </c>
    </row>
  </sheetData>
  <mergeCells count="3">
    <mergeCell ref="A1:C1"/>
    <mergeCell ref="D1:G1"/>
    <mergeCell ref="H1:N1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baseColWidth="10" defaultColWidth="8.81640625" defaultRowHeight="14.5" x14ac:dyDescent="0.35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baseColWidth="10" defaultColWidth="8.81640625" defaultRowHeight="14.5" x14ac:dyDescent="0.35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3"/>
  <sheetViews>
    <sheetView workbookViewId="0">
      <selection activeCell="I11" sqref="I11"/>
    </sheetView>
  </sheetViews>
  <sheetFormatPr baseColWidth="10" defaultRowHeight="14.5" x14ac:dyDescent="0.35"/>
  <cols>
    <col min="5" max="5" width="18.6328125" bestFit="1" customWidth="1"/>
  </cols>
  <sheetData>
    <row r="1" spans="1:5" x14ac:dyDescent="0.35">
      <c r="A1" s="33" t="s">
        <v>0</v>
      </c>
      <c r="B1" s="33"/>
      <c r="C1" s="33"/>
      <c r="D1" s="31" t="s">
        <v>306</v>
      </c>
      <c r="E1" s="32"/>
    </row>
    <row r="2" spans="1:5" x14ac:dyDescent="0.35">
      <c r="A2" s="26" t="s">
        <v>6</v>
      </c>
      <c r="B2" s="26" t="s">
        <v>265</v>
      </c>
      <c r="C2" s="26" t="s">
        <v>266</v>
      </c>
      <c r="D2" s="20" t="s">
        <v>307</v>
      </c>
      <c r="E2" s="21" t="s">
        <v>95</v>
      </c>
    </row>
    <row r="3" spans="1:5" x14ac:dyDescent="0.35">
      <c r="A3" s="27" t="s">
        <v>134</v>
      </c>
      <c r="B3" s="28">
        <v>42674.333333333299</v>
      </c>
      <c r="C3" s="28">
        <v>42694.708333333299</v>
      </c>
      <c r="D3" s="22" t="s">
        <v>308</v>
      </c>
      <c r="E3" s="23" t="s">
        <v>308</v>
      </c>
    </row>
    <row r="4" spans="1:5" x14ac:dyDescent="0.35">
      <c r="A4" s="27" t="s">
        <v>140</v>
      </c>
      <c r="B4" s="28">
        <v>42694.708333333299</v>
      </c>
      <c r="C4" s="28">
        <v>42745.708333333299</v>
      </c>
      <c r="D4" s="24" t="s">
        <v>309</v>
      </c>
      <c r="E4" s="25" t="s">
        <v>312</v>
      </c>
    </row>
    <row r="5" spans="1:5" x14ac:dyDescent="0.35">
      <c r="A5" s="27" t="s">
        <v>143</v>
      </c>
      <c r="B5" s="28">
        <v>42745.708333333299</v>
      </c>
      <c r="C5" s="28">
        <v>42844.708333333299</v>
      </c>
      <c r="D5" s="22" t="s">
        <v>308</v>
      </c>
      <c r="E5" s="23" t="s">
        <v>308</v>
      </c>
    </row>
    <row r="6" spans="1:5" x14ac:dyDescent="0.35">
      <c r="A6" s="27" t="s">
        <v>151</v>
      </c>
      <c r="B6" s="28">
        <v>42844.708333333299</v>
      </c>
      <c r="C6" s="28">
        <v>42951.708333333299</v>
      </c>
      <c r="D6" s="24" t="s">
        <v>310</v>
      </c>
      <c r="E6" s="25" t="s">
        <v>313</v>
      </c>
    </row>
    <row r="7" spans="1:5" x14ac:dyDescent="0.35">
      <c r="A7" s="27" t="s">
        <v>159</v>
      </c>
      <c r="B7" s="28">
        <v>42951.708333333299</v>
      </c>
      <c r="C7" s="28">
        <v>42999.708333333299</v>
      </c>
      <c r="D7" s="22" t="s">
        <v>308</v>
      </c>
      <c r="E7" s="23" t="s">
        <v>308</v>
      </c>
    </row>
    <row r="8" spans="1:5" x14ac:dyDescent="0.35">
      <c r="A8" s="27" t="s">
        <v>172</v>
      </c>
      <c r="B8" s="28">
        <v>42999.708333333299</v>
      </c>
      <c r="C8" s="28">
        <v>43053.708333333299</v>
      </c>
      <c r="D8" s="24" t="s">
        <v>308</v>
      </c>
      <c r="E8" s="25" t="s">
        <v>308</v>
      </c>
    </row>
    <row r="9" spans="1:5" x14ac:dyDescent="0.35">
      <c r="A9" s="27" t="s">
        <v>191</v>
      </c>
      <c r="B9" s="28">
        <v>43053.708333333299</v>
      </c>
      <c r="C9" s="28">
        <v>43151.708333333299</v>
      </c>
      <c r="D9" s="22" t="s">
        <v>308</v>
      </c>
      <c r="E9" s="23" t="s">
        <v>308</v>
      </c>
    </row>
    <row r="10" spans="1:5" x14ac:dyDescent="0.35">
      <c r="A10" s="27" t="s">
        <v>206</v>
      </c>
      <c r="B10" s="28">
        <v>43151.708333333299</v>
      </c>
      <c r="C10" s="28">
        <v>43218.708333333299</v>
      </c>
      <c r="D10" s="24" t="s">
        <v>311</v>
      </c>
      <c r="E10" s="25" t="s">
        <v>314</v>
      </c>
    </row>
    <row r="11" spans="1:5" x14ac:dyDescent="0.35">
      <c r="A11" s="27" t="s">
        <v>213</v>
      </c>
      <c r="B11" s="28">
        <v>43218.708333333299</v>
      </c>
      <c r="C11" s="28">
        <v>43242.708333333299</v>
      </c>
      <c r="D11" s="22" t="s">
        <v>308</v>
      </c>
      <c r="E11" s="23" t="s">
        <v>308</v>
      </c>
    </row>
    <row r="12" spans="1:5" x14ac:dyDescent="0.35">
      <c r="A12" s="27" t="s">
        <v>219</v>
      </c>
      <c r="B12" s="28">
        <v>43242.708333333299</v>
      </c>
      <c r="C12" s="28">
        <v>43344.708333333299</v>
      </c>
      <c r="D12" s="24" t="s">
        <v>308</v>
      </c>
      <c r="E12" s="25" t="s">
        <v>308</v>
      </c>
    </row>
    <row r="13" spans="1:5" x14ac:dyDescent="0.35">
      <c r="A13" s="27" t="s">
        <v>223</v>
      </c>
      <c r="B13" s="28">
        <v>43344.708333333299</v>
      </c>
      <c r="C13" s="28">
        <v>43374.708333333299</v>
      </c>
      <c r="D13" s="22" t="s">
        <v>308</v>
      </c>
      <c r="E13" s="23" t="s">
        <v>308</v>
      </c>
    </row>
  </sheetData>
  <mergeCells count="2">
    <mergeCell ref="D1:E1"/>
    <mergeCell ref="A1:C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Baseline Schedule</vt:lpstr>
      <vt:lpstr>Gantt chart</vt:lpstr>
      <vt:lpstr>Resources</vt:lpstr>
      <vt:lpstr>Risk Analysis</vt:lpstr>
      <vt:lpstr>TP1</vt:lpstr>
      <vt:lpstr>TP2</vt:lpstr>
      <vt:lpstr>TP3</vt:lpstr>
      <vt:lpstr>TP4</vt:lpstr>
      <vt:lpstr>TP5</vt:lpstr>
      <vt:lpstr>TP6</vt:lpstr>
      <vt:lpstr>TP7</vt:lpstr>
      <vt:lpstr>TP8</vt:lpstr>
      <vt:lpstr>TP9</vt:lpstr>
      <vt:lpstr>TP10</vt:lpstr>
      <vt:lpstr>TP11</vt:lpstr>
      <vt:lpstr>Agenda</vt:lpstr>
      <vt:lpstr>Tracking Overview</vt:lpstr>
      <vt:lpstr>AC, EV, PV</vt:lpstr>
      <vt:lpstr>SPI, SPI(t), p-factor</vt:lpstr>
      <vt:lpstr>Corrective actions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IGNACIO SANTOS MARTIN</cp:lastModifiedBy>
  <dcterms:created xsi:type="dcterms:W3CDTF">2018-05-30T00:46:08Z</dcterms:created>
  <dcterms:modified xsi:type="dcterms:W3CDTF">2025-03-16T15:43:57Z</dcterms:modified>
</cp:coreProperties>
</file>